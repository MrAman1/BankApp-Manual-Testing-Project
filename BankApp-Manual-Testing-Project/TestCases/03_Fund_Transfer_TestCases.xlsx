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Cases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<sst xmlns="http://schemas.openxmlformats.org/spreadsheetml/2006/main" count="193" uniqueCount="131">
  <si>
    <t xml:space="preserve">Fund Transfer Module - Test Cases</t>
  </si>
  <si>
    <t xml:space="preserve">Secure Bank | Manual QA Test Artifacts</t>
  </si>
  <si>
    <t xml:space="preserve">Test Case ID</t>
  </si>
  <si>
    <t xml:space="preserve">Module</t>
  </si>
  <si>
    <t xml:space="preserve">Test Scenario</t>
  </si>
  <si>
    <t xml:space="preserve">Test Case Description</t>
  </si>
  <si>
    <t xml:space="preserve">Pre-conditions</t>
  </si>
  <si>
    <t xml:space="preserve">Test Steps</t>
  </si>
  <si>
    <t xml:space="preserve">Test Data</t>
  </si>
  <si>
    <t xml:space="preserve">Expected Result</t>
  </si>
  <si>
    <t xml:space="preserve">Actual Result</t>
  </si>
  <si>
    <t xml:space="preserve">Status</t>
  </si>
  <si>
    <t xml:space="preserve">Priority</t>
  </si>
  <si>
    <t xml:space="preserve">Severity</t>
  </si>
  <si>
    <t xml:space="preserve">Test Type</t>
  </si>
  <si>
    <t xml:space="preserve">Executed By</t>
  </si>
  <si>
    <t xml:space="preserve">Execution Date</t>
  </si>
  <si>
    <t xml:space="preserve">Comments</t>
  </si>
  <si>
    <t xml:space="preserve">TC_FT_001</t>
  </si>
  <si>
    <t xml:space="preserve">Fund Transfer</t>
  </si>
  <si>
    <t xml:space="preserve">Successful IMPS transfer within limit</t>
  </si>
  <si>
    <t xml:space="preserve">Verify user can transfer funds via IMPS to a registered beneficiary within daily limit</t>
  </si>
  <si>
    <t xml:space="preserve">User is logged in; beneficiary added; sufficient balance</t>
  </si>
  <si>
    <t xml:space="preserve">1. Navigate to Fund Transfer &gt; IMPS
2. Select beneficiary
3. Enter amount within limit
4. Confirm with MPIN/OTP</t>
  </si>
  <si>
    <t xml:space="preserve">Amount: Rs.5,000
Beneficiary: Registered A/C 1122334455</t>
  </si>
  <si>
    <t xml:space="preserve">Transaction is successful; success message with reference number displayed; balance updated correctly</t>
  </si>
  <si>
    <t xml:space="preserve">Not Executed</t>
  </si>
  <si>
    <t xml:space="preserve">High</t>
  </si>
  <si>
    <t xml:space="preserve">Critical</t>
  </si>
  <si>
    <t xml:space="preserve">Functional</t>
  </si>
  <si>
    <t xml:space="preserve">TC_FT_002</t>
  </si>
  <si>
    <t xml:space="preserve">Transfer amount exceeds account balance</t>
  </si>
  <si>
    <t xml:space="preserve">Verify system prevents transfer when amount exceeds available balance</t>
  </si>
  <si>
    <t xml:space="preserve">Account balance is Rs.1,000</t>
  </si>
  <si>
    <t xml:space="preserve">1. Initiate transfer of an amount greater than balance
2. Confirm</t>
  </si>
  <si>
    <t xml:space="preserve">Amount: Rs.50,000 (balance Rs.1,000)</t>
  </si>
  <si>
    <t xml:space="preserve">Error message 'Insufficient balance' is displayed; transaction is not processed</t>
  </si>
  <si>
    <t xml:space="preserve">Negative</t>
  </si>
  <si>
    <t xml:space="preserve">TC_FT_003</t>
  </si>
  <si>
    <t xml:space="preserve">Transfer exceeds daily transaction limit</t>
  </si>
  <si>
    <t xml:space="preserve">Verify system blocks transfer exceeding configured daily limit</t>
  </si>
  <si>
    <t xml:space="preserve">Daily limit is Rs.1,00,000; user has not transferred earlier today</t>
  </si>
  <si>
    <t xml:space="preserve">1. Initiate transfer amount above the daily limit
2. Confirm</t>
  </si>
  <si>
    <t xml:space="preserve">Amount: Rs.1,50,000</t>
  </si>
  <si>
    <t xml:space="preserve">Error 'Transaction exceeds daily limit' is displayed; transfer is not processed</t>
  </si>
  <si>
    <t xml:space="preserve">Major</t>
  </si>
  <si>
    <t xml:space="preserve">Boundary</t>
  </si>
  <si>
    <t xml:space="preserve">TC_FT_004</t>
  </si>
  <si>
    <t xml:space="preserve">Transfer to unregistered/invalid account number</t>
  </si>
  <si>
    <t xml:space="preserve">Verify system validates beneficiary account number before processing transfer</t>
  </si>
  <si>
    <t xml:space="preserve">User is on Add Beneficiary/Transfer screen</t>
  </si>
  <si>
    <t xml:space="preserve">1. Enter an invalid/non-existent account number
2. Add as beneficiary or attempt direct transfer</t>
  </si>
  <si>
    <t xml:space="preserve">Account No: 000000000000</t>
  </si>
  <si>
    <t xml:space="preserve">Error 'Invalid account number' or 'Beneficiary verification failed' is displayed</t>
  </si>
  <si>
    <t xml:space="preserve">TC_FT_005</t>
  </si>
  <si>
    <t xml:space="preserve">Zero or negative amount transfer</t>
  </si>
  <si>
    <t xml:space="preserve">Verify system rejects transfer with zero or negative amount</t>
  </si>
  <si>
    <t xml:space="preserve">User is on Fund Transfer screen</t>
  </si>
  <si>
    <t xml:space="preserve">1. Enter amount as 0 or a negative value
2. Attempt to proceed</t>
  </si>
  <si>
    <t xml:space="preserve">Amount: 0 / -100</t>
  </si>
  <si>
    <t xml:space="preserve">Validation error 'Enter a valid amount greater than zero' is displayed</t>
  </si>
  <si>
    <t xml:space="preserve">Medium</t>
  </si>
  <si>
    <t xml:space="preserve">TC_FT_006</t>
  </si>
  <si>
    <t xml:space="preserve">OTP validation for high-value transfer</t>
  </si>
  <si>
    <t xml:space="preserve">Verify OTP/2FA is mandatorily required for transfers above a threshold</t>
  </si>
  <si>
    <t xml:space="preserve">User initiates a high-value transfer</t>
  </si>
  <si>
    <t xml:space="preserve">1. Enter amount above OTP threshold (e.g., Rs.25,000)
2. Confirm transfer
3. Enter valid OTP</t>
  </si>
  <si>
    <t xml:space="preserve">Amount: Rs.30,000
OTP: valid 6-digit code</t>
  </si>
  <si>
    <t xml:space="preserve">Transaction proceeds only after correct OTP is entered; without OTP transaction is blocked</t>
  </si>
  <si>
    <t xml:space="preserve">Security</t>
  </si>
  <si>
    <t xml:space="preserve">TC_FT_007</t>
  </si>
  <si>
    <t xml:space="preserve">Incorrect MPIN/transaction PIN</t>
  </si>
  <si>
    <t xml:space="preserve">Verify system rejects transfer when incorrect transaction PIN is entered</t>
  </si>
  <si>
    <t xml:space="preserve">User initiates transfer</t>
  </si>
  <si>
    <t xml:space="preserve">1. Enter transfer details
2. Enter incorrect MPIN
3. Confirm</t>
  </si>
  <si>
    <t xml:space="preserve">MPIN: wrong 4-digit PIN</t>
  </si>
  <si>
    <t xml:space="preserve">Error 'Invalid MPIN' displayed; transaction not processed; retry count decremented</t>
  </si>
  <si>
    <t xml:space="preserve">TC_FT_008</t>
  </si>
  <si>
    <t xml:space="preserve">Add new beneficiary and cooling period</t>
  </si>
  <si>
    <t xml:space="preserve">Verify newly added beneficiary is subject to bank's cooling period before first transfer</t>
  </si>
  <si>
    <t xml:space="preserve">User adds a new beneficiary</t>
  </si>
  <si>
    <t xml:space="preserve">1. Add a new beneficiary
2. Attempt immediate fund transfer to that beneficiary</t>
  </si>
  <si>
    <t xml:space="preserve">New beneficiary account added just now</t>
  </si>
  <si>
    <t xml:space="preserve">Transfer is blocked/limited until cooling period (e.g., 30 min/24 hrs) elapses, per bank policy; appropriate message shown</t>
  </si>
  <si>
    <t xml:space="preserve">TC_FT_009</t>
  </si>
  <si>
    <t xml:space="preserve">Duplicate transaction prevention</t>
  </si>
  <si>
    <t xml:space="preserve">Verify system prevents accidental duplicate submission on double-click of Confirm button</t>
  </si>
  <si>
    <t xml:space="preserve">User is on the transfer confirmation screen</t>
  </si>
  <si>
    <t xml:space="preserve">1. Click 'Confirm' button rapidly twice (double-click)</t>
  </si>
  <si>
    <t xml:space="preserve">Amount: Rs.2,000</t>
  </si>
  <si>
    <t xml:space="preserve">Only a single transaction is processed; duplicate/double transfer does not occur</t>
  </si>
  <si>
    <t xml:space="preserve">TC_FT_010</t>
  </si>
  <si>
    <t xml:space="preserve">Transaction status - network failure mid-transaction</t>
  </si>
  <si>
    <t xml:space="preserve">Verify appropriate handling and reconciliation when network fails after debit but before credit confirmation</t>
  </si>
  <si>
    <t xml:space="preserve">Simulated network interruption during transfer</t>
  </si>
  <si>
    <t xml:space="preserve">1. Initiate transfer
2. Simulate network drop right after submission</t>
  </si>
  <si>
    <t xml:space="preserve">N/A</t>
  </si>
  <si>
    <t xml:space="preserve">Transaction is either rolled back with amount reverted, or marked 'Pending' with reconciliation; account is not incorrectly debited without credit/reversal</t>
  </si>
  <si>
    <t xml:space="preserve">TC_FT_011</t>
  </si>
  <si>
    <t xml:space="preserve">NEFT during non-banking hours</t>
  </si>
  <si>
    <t xml:space="preserve">Verify system message when NEFT/RTGS is attempted outside processing windows (where applicable)</t>
  </si>
  <si>
    <t xml:space="preserve">Time is outside NEFT processing window</t>
  </si>
  <si>
    <t xml:space="preserve">1. Attempt NEFT transfer outside working hours</t>
  </si>
  <si>
    <t xml:space="preserve">System informs user that transaction will be queued/processed in next available batch, or accepts as 24x7 NEFT per current RBI guidelines</t>
  </si>
  <si>
    <t xml:space="preserve">Minor</t>
  </si>
  <si>
    <t xml:space="preserve">TC_FT_012</t>
  </si>
  <si>
    <t xml:space="preserve">Transaction history/statement reflects transfer</t>
  </si>
  <si>
    <t xml:space="preserve">Verify a completed transfer correctly reflects in transaction history and passbook/statement</t>
  </si>
  <si>
    <t xml:space="preserve">A successful transfer has been completed</t>
  </si>
  <si>
    <t xml:space="preserve">1. Navigate to Transaction History/Statement
2. Locate the recent transfer</t>
  </si>
  <si>
    <t xml:space="preserve">Recently completed transaction</t>
  </si>
  <si>
    <t xml:space="preserve">Transaction appears with correct date, amount, beneficiary, reference number and updated running balance</t>
  </si>
  <si>
    <t xml:space="preserve">TC_FT_013</t>
  </si>
  <si>
    <t xml:space="preserve">Self-account transfer</t>
  </si>
  <si>
    <t xml:space="preserve">Verify user can transfer funds between their own linked accounts</t>
  </si>
  <si>
    <t xml:space="preserve">User has 2+ linked accounts</t>
  </si>
  <si>
    <t xml:space="preserve">1. Select 'Transfer to own account'
2. Choose source and destination account
3. Enter amount and confirm</t>
  </si>
  <si>
    <t xml:space="preserve">Amount: Rs.1,000</t>
  </si>
  <si>
    <t xml:space="preserve">Funds move instantly between own accounts; both account balances update correctly</t>
  </si>
  <si>
    <t xml:space="preserve">TC_FT_014</t>
  </si>
  <si>
    <t xml:space="preserve">Cancel transaction mid-flow</t>
  </si>
  <si>
    <t xml:space="preserve">Verify user can cancel a fund transfer before final confirmation without any deduction</t>
  </si>
  <si>
    <t xml:space="preserve">User is mid-way through transfer flow</t>
  </si>
  <si>
    <t xml:space="preserve">1. Fill transfer details
2. Click Cancel before final confirmation</t>
  </si>
  <si>
    <t xml:space="preserve">User is returned to previous screen; no amount is debited from the account</t>
  </si>
  <si>
    <t xml:space="preserve">Fund Transfer (NEFT/RTGS/IMPS) - Execution Summary</t>
  </si>
  <si>
    <t xml:space="preserve">Total Test Cases</t>
  </si>
  <si>
    <t xml:space="preserve">Passed</t>
  </si>
  <si>
    <t xml:space="preserve">Failed</t>
  </si>
  <si>
    <t xml:space="preserve">Blocked</t>
  </si>
  <si>
    <t xml:space="preserve">Pass %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</si>
</sst>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Calibri"/>
      <family val="0"/>
      <charset val="1"/>
    </font>
    <font>
      <i val="true"/>
      <sz val="10"/>
      <color rgb="FF595959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1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D9D9"/>
        <bgColor rgb="FFFFC7CE"/>
      </patternFill>
    </fill>
    <fill>
      <patternFill patternType="solid">
        <fgColor rgb="FFFFC7CE"/>
        <bgColor rgb="FFD9D9D9"/>
      </patternFill>
    </fill>
    <fill>
      <patternFill patternType="solid">
        <fgColor rgb="FFFFEB9C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30"/>
    <col collapsed="false" customWidth="true" hidden="false" outlineLevel="0" max="5" min="5" style="0" width="22"/>
    <col collapsed="false" customWidth="true" hidden="false" outlineLevel="0" max="6" min="6" style="0" width="38"/>
    <col collapsed="false" customWidth="true" hidden="false" outlineLevel="0" max="7" min="7" style="0" width="22"/>
    <col collapsed="false" customWidth="true" hidden="false" outlineLevel="0" max="8" min="8" style="0" width="30"/>
    <col collapsed="false" customWidth="true" hidden="false" outlineLevel="0" max="9" min="9" style="0" width="22"/>
    <col collapsed="false" customWidth="true" hidden="false" outlineLevel="0" max="10" min="10" style="0" width="12"/>
    <col collapsed="false" customWidth="true" hidden="false" outlineLevel="0" max="12" min="11" style="0" width="10"/>
    <col collapsed="false" customWidth="true" hidden="false" outlineLevel="0" max="15" min="13" style="0" width="14"/>
    <col collapsed="false" customWidth="true" hidden="false" outlineLevel="0" max="16" min="16" style="0" width="2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</row>
    <row r="5" customFormat="false" ht="45" hidden="false" customHeight="true" outlineLevel="0" collapsed="false">
      <c r="A5" s="4" t="s">
        <v>18</v>
      </c>
      <c r="B5" s="4" t="s">
        <v>19</v>
      </c>
      <c r="C5" s="4" t="s">
        <v>20</v>
      </c>
      <c r="D5" s="4" t="s">
        <v>21</v>
      </c>
      <c r="E5" s="4" t="s">
        <v>22</v>
      </c>
      <c r="F5" s="4" t="s">
        <v>23</v>
      </c>
      <c r="G5" s="4" t="s">
        <v>24</v>
      </c>
      <c r="H5" s="4" t="s">
        <v>25</v>
      </c>
      <c r="I5" s="4"/>
      <c r="J5" s="5" t="s">
        <v>26</v>
      </c>
      <c r="K5" s="6" t="s">
        <v>27</v>
      </c>
      <c r="L5" s="4" t="s">
        <v>28</v>
      </c>
      <c r="M5" s="4" t="s">
        <v>29</v>
      </c>
      <c r="N5" s="4"/>
      <c r="O5" s="4"/>
      <c r="P5" s="4"/>
    </row>
    <row r="6" customFormat="false" ht="45" hidden="false" customHeight="true" outlineLevel="0" collapsed="false">
      <c r="A6" s="4" t="s">
        <v>30</v>
      </c>
      <c r="B6" s="4" t="s">
        <v>19</v>
      </c>
      <c r="C6" s="4" t="s">
        <v>31</v>
      </c>
      <c r="D6" s="4" t="s">
        <v>32</v>
      </c>
      <c r="E6" s="4" t="s">
        <v>33</v>
      </c>
      <c r="F6" s="4" t="s">
        <v>34</v>
      </c>
      <c r="G6" s="4" t="s">
        <v>35</v>
      </c>
      <c r="H6" s="4" t="s">
        <v>36</v>
      </c>
      <c r="I6" s="4"/>
      <c r="J6" s="5" t="s">
        <v>26</v>
      </c>
      <c r="K6" s="6" t="s">
        <v>27</v>
      </c>
      <c r="L6" s="4" t="s">
        <v>28</v>
      </c>
      <c r="M6" s="4" t="s">
        <v>37</v>
      </c>
      <c r="N6" s="4"/>
      <c r="O6" s="4"/>
      <c r="P6" s="4"/>
    </row>
    <row r="7" customFormat="false" ht="45" hidden="false" customHeight="true" outlineLevel="0" collapsed="false">
      <c r="A7" s="4" t="s">
        <v>38</v>
      </c>
      <c r="B7" s="4" t="s">
        <v>19</v>
      </c>
      <c r="C7" s="4" t="s">
        <v>39</v>
      </c>
      <c r="D7" s="4" t="s">
        <v>40</v>
      </c>
      <c r="E7" s="4" t="s">
        <v>41</v>
      </c>
      <c r="F7" s="4" t="s">
        <v>42</v>
      </c>
      <c r="G7" s="4" t="s">
        <v>43</v>
      </c>
      <c r="H7" s="4" t="s">
        <v>44</v>
      </c>
      <c r="I7" s="4"/>
      <c r="J7" s="5" t="s">
        <v>26</v>
      </c>
      <c r="K7" s="6" t="s">
        <v>27</v>
      </c>
      <c r="L7" s="4" t="s">
        <v>45</v>
      </c>
      <c r="M7" s="4" t="s">
        <v>46</v>
      </c>
      <c r="N7" s="4"/>
      <c r="O7" s="4"/>
      <c r="P7" s="4"/>
    </row>
    <row r="8" customFormat="false" ht="45" hidden="false" customHeight="true" outlineLevel="0" collapsed="false">
      <c r="A8" s="4" t="s">
        <v>47</v>
      </c>
      <c r="B8" s="4" t="s">
        <v>19</v>
      </c>
      <c r="C8" s="4" t="s">
        <v>48</v>
      </c>
      <c r="D8" s="4" t="s">
        <v>49</v>
      </c>
      <c r="E8" s="4" t="s">
        <v>50</v>
      </c>
      <c r="F8" s="4" t="s">
        <v>51</v>
      </c>
      <c r="G8" s="4" t="s">
        <v>52</v>
      </c>
      <c r="H8" s="4" t="s">
        <v>53</v>
      </c>
      <c r="I8" s="4"/>
      <c r="J8" s="5" t="s">
        <v>26</v>
      </c>
      <c r="K8" s="6" t="s">
        <v>27</v>
      </c>
      <c r="L8" s="4" t="s">
        <v>45</v>
      </c>
      <c r="M8" s="4" t="s">
        <v>37</v>
      </c>
      <c r="N8" s="4"/>
      <c r="O8" s="4"/>
      <c r="P8" s="4"/>
    </row>
    <row r="9" customFormat="false" ht="45" hidden="false" customHeight="true" outlineLevel="0" collapsed="false">
      <c r="A9" s="4" t="s">
        <v>54</v>
      </c>
      <c r="B9" s="4" t="s">
        <v>19</v>
      </c>
      <c r="C9" s="4" t="s">
        <v>55</v>
      </c>
      <c r="D9" s="4" t="s">
        <v>56</v>
      </c>
      <c r="E9" s="4" t="s">
        <v>57</v>
      </c>
      <c r="F9" s="4" t="s">
        <v>58</v>
      </c>
      <c r="G9" s="4" t="s">
        <v>59</v>
      </c>
      <c r="H9" s="4" t="s">
        <v>60</v>
      </c>
      <c r="I9" s="4"/>
      <c r="J9" s="5" t="s">
        <v>26</v>
      </c>
      <c r="K9" s="7" t="s">
        <v>61</v>
      </c>
      <c r="L9" s="4" t="s">
        <v>45</v>
      </c>
      <c r="M9" s="4" t="s">
        <v>46</v>
      </c>
      <c r="N9" s="4"/>
      <c r="O9" s="4"/>
      <c r="P9" s="4"/>
    </row>
    <row r="10" customFormat="false" ht="45" hidden="false" customHeight="true" outlineLevel="0" collapsed="false">
      <c r="A10" s="4" t="s">
        <v>62</v>
      </c>
      <c r="B10" s="4" t="s">
        <v>19</v>
      </c>
      <c r="C10" s="4" t="s">
        <v>63</v>
      </c>
      <c r="D10" s="4" t="s">
        <v>64</v>
      </c>
      <c r="E10" s="4" t="s">
        <v>65</v>
      </c>
      <c r="F10" s="4" t="s">
        <v>66</v>
      </c>
      <c r="G10" s="4" t="s">
        <v>67</v>
      </c>
      <c r="H10" s="4" t="s">
        <v>68</v>
      </c>
      <c r="I10" s="4"/>
      <c r="J10" s="5" t="s">
        <v>26</v>
      </c>
      <c r="K10" s="6" t="s">
        <v>27</v>
      </c>
      <c r="L10" s="4" t="s">
        <v>28</v>
      </c>
      <c r="M10" s="4" t="s">
        <v>69</v>
      </c>
      <c r="N10" s="4"/>
      <c r="O10" s="4"/>
      <c r="P10" s="4"/>
    </row>
    <row r="11" customFormat="false" ht="45" hidden="false" customHeight="true" outlineLevel="0" collapsed="false">
      <c r="A11" s="4" t="s">
        <v>70</v>
      </c>
      <c r="B11" s="4" t="s">
        <v>19</v>
      </c>
      <c r="C11" s="4" t="s">
        <v>71</v>
      </c>
      <c r="D11" s="4" t="s">
        <v>72</v>
      </c>
      <c r="E11" s="4" t="s">
        <v>73</v>
      </c>
      <c r="F11" s="4" t="s">
        <v>74</v>
      </c>
      <c r="G11" s="4" t="s">
        <v>75</v>
      </c>
      <c r="H11" s="4" t="s">
        <v>76</v>
      </c>
      <c r="I11" s="4"/>
      <c r="J11" s="5" t="s">
        <v>26</v>
      </c>
      <c r="K11" s="6" t="s">
        <v>27</v>
      </c>
      <c r="L11" s="4" t="s">
        <v>45</v>
      </c>
      <c r="M11" s="4" t="s">
        <v>37</v>
      </c>
      <c r="N11" s="4"/>
      <c r="O11" s="4"/>
      <c r="P11" s="4"/>
    </row>
    <row r="12" customFormat="false" ht="45" hidden="false" customHeight="true" outlineLevel="0" collapsed="false">
      <c r="A12" s="4" t="s">
        <v>77</v>
      </c>
      <c r="B12" s="4" t="s">
        <v>19</v>
      </c>
      <c r="C12" s="4" t="s">
        <v>78</v>
      </c>
      <c r="D12" s="4" t="s">
        <v>79</v>
      </c>
      <c r="E12" s="4" t="s">
        <v>80</v>
      </c>
      <c r="F12" s="4" t="s">
        <v>81</v>
      </c>
      <c r="G12" s="4" t="s">
        <v>82</v>
      </c>
      <c r="H12" s="4" t="s">
        <v>83</v>
      </c>
      <c r="I12" s="4"/>
      <c r="J12" s="5" t="s">
        <v>26</v>
      </c>
      <c r="K12" s="7" t="s">
        <v>61</v>
      </c>
      <c r="L12" s="4" t="s">
        <v>45</v>
      </c>
      <c r="M12" s="4" t="s">
        <v>29</v>
      </c>
      <c r="N12" s="4"/>
      <c r="O12" s="4"/>
      <c r="P12" s="4"/>
    </row>
    <row r="13" customFormat="false" ht="45" hidden="false" customHeight="true" outlineLevel="0" collapsed="false">
      <c r="A13" s="4" t="s">
        <v>84</v>
      </c>
      <c r="B13" s="4" t="s">
        <v>19</v>
      </c>
      <c r="C13" s="4" t="s">
        <v>85</v>
      </c>
      <c r="D13" s="4" t="s">
        <v>86</v>
      </c>
      <c r="E13" s="4" t="s">
        <v>87</v>
      </c>
      <c r="F13" s="4" t="s">
        <v>88</v>
      </c>
      <c r="G13" s="4" t="s">
        <v>89</v>
      </c>
      <c r="H13" s="4" t="s">
        <v>90</v>
      </c>
      <c r="I13" s="4"/>
      <c r="J13" s="5" t="s">
        <v>26</v>
      </c>
      <c r="K13" s="6" t="s">
        <v>27</v>
      </c>
      <c r="L13" s="4" t="s">
        <v>28</v>
      </c>
      <c r="M13" s="4" t="s">
        <v>29</v>
      </c>
      <c r="N13" s="4"/>
      <c r="O13" s="4"/>
      <c r="P13" s="4"/>
    </row>
    <row r="14" customFormat="false" ht="45" hidden="false" customHeight="true" outlineLevel="0" collapsed="false">
      <c r="A14" s="4" t="s">
        <v>91</v>
      </c>
      <c r="B14" s="4" t="s">
        <v>19</v>
      </c>
      <c r="C14" s="4" t="s">
        <v>92</v>
      </c>
      <c r="D14" s="4" t="s">
        <v>93</v>
      </c>
      <c r="E14" s="4" t="s">
        <v>94</v>
      </c>
      <c r="F14" s="4" t="s">
        <v>95</v>
      </c>
      <c r="G14" s="4" t="s">
        <v>96</v>
      </c>
      <c r="H14" s="4" t="s">
        <v>97</v>
      </c>
      <c r="I14" s="4"/>
      <c r="J14" s="5" t="s">
        <v>26</v>
      </c>
      <c r="K14" s="6" t="s">
        <v>27</v>
      </c>
      <c r="L14" s="4" t="s">
        <v>28</v>
      </c>
      <c r="M14" s="4" t="s">
        <v>29</v>
      </c>
      <c r="N14" s="4"/>
      <c r="O14" s="4"/>
      <c r="P14" s="4"/>
    </row>
    <row r="15" customFormat="false" ht="45" hidden="false" customHeight="true" outlineLevel="0" collapsed="false">
      <c r="A15" s="4" t="s">
        <v>98</v>
      </c>
      <c r="B15" s="4" t="s">
        <v>19</v>
      </c>
      <c r="C15" s="4" t="s">
        <v>99</v>
      </c>
      <c r="D15" s="4" t="s">
        <v>100</v>
      </c>
      <c r="E15" s="4" t="s">
        <v>101</v>
      </c>
      <c r="F15" s="4" t="s">
        <v>102</v>
      </c>
      <c r="G15" s="4" t="s">
        <v>96</v>
      </c>
      <c r="H15" s="4" t="s">
        <v>103</v>
      </c>
      <c r="I15" s="4"/>
      <c r="J15" s="5" t="s">
        <v>26</v>
      </c>
      <c r="K15" s="7" t="s">
        <v>61</v>
      </c>
      <c r="L15" s="4" t="s">
        <v>104</v>
      </c>
      <c r="M15" s="4" t="s">
        <v>29</v>
      </c>
      <c r="N15" s="4"/>
      <c r="O15" s="4"/>
      <c r="P15" s="4"/>
    </row>
    <row r="16" customFormat="false" ht="45" hidden="false" customHeight="true" outlineLevel="0" collapsed="false">
      <c r="A16" s="4" t="s">
        <v>105</v>
      </c>
      <c r="B16" s="4" t="s">
        <v>19</v>
      </c>
      <c r="C16" s="4" t="s">
        <v>106</v>
      </c>
      <c r="D16" s="4" t="s">
        <v>107</v>
      </c>
      <c r="E16" s="4" t="s">
        <v>108</v>
      </c>
      <c r="F16" s="4" t="s">
        <v>109</v>
      </c>
      <c r="G16" s="4" t="s">
        <v>110</v>
      </c>
      <c r="H16" s="4" t="s">
        <v>111</v>
      </c>
      <c r="I16" s="4"/>
      <c r="J16" s="5" t="s">
        <v>26</v>
      </c>
      <c r="K16" s="7" t="s">
        <v>61</v>
      </c>
      <c r="L16" s="4" t="s">
        <v>45</v>
      </c>
      <c r="M16" s="4" t="s">
        <v>29</v>
      </c>
      <c r="N16" s="4"/>
      <c r="O16" s="4"/>
      <c r="P16" s="4"/>
    </row>
    <row r="17" customFormat="false" ht="45" hidden="false" customHeight="true" outlineLevel="0" collapsed="false">
      <c r="A17" s="4" t="s">
        <v>112</v>
      </c>
      <c r="B17" s="4" t="s">
        <v>19</v>
      </c>
      <c r="C17" s="4" t="s">
        <v>113</v>
      </c>
      <c r="D17" s="4" t="s">
        <v>114</v>
      </c>
      <c r="E17" s="4" t="s">
        <v>115</v>
      </c>
      <c r="F17" s="4" t="s">
        <v>116</v>
      </c>
      <c r="G17" s="4" t="s">
        <v>117</v>
      </c>
      <c r="H17" s="4" t="s">
        <v>118</v>
      </c>
      <c r="I17" s="4"/>
      <c r="J17" s="5" t="s">
        <v>26</v>
      </c>
      <c r="K17" s="7" t="s">
        <v>61</v>
      </c>
      <c r="L17" s="4" t="s">
        <v>45</v>
      </c>
      <c r="M17" s="4" t="s">
        <v>29</v>
      </c>
      <c r="N17" s="4"/>
      <c r="O17" s="4"/>
      <c r="P17" s="4"/>
    </row>
    <row r="18" customFormat="false" ht="45" hidden="false" customHeight="true" outlineLevel="0" collapsed="false">
      <c r="A18" s="4" t="s">
        <v>119</v>
      </c>
      <c r="B18" s="4" t="s">
        <v>19</v>
      </c>
      <c r="C18" s="4" t="s">
        <v>120</v>
      </c>
      <c r="D18" s="4" t="s">
        <v>121</v>
      </c>
      <c r="E18" s="4" t="s">
        <v>122</v>
      </c>
      <c r="F18" s="4" t="s">
        <v>123</v>
      </c>
      <c r="G18" s="4" t="s">
        <v>96</v>
      </c>
      <c r="H18" s="4" t="s">
        <v>124</v>
      </c>
      <c r="I18" s="4"/>
      <c r="J18" s="5" t="s">
        <v>26</v>
      </c>
      <c r="K18" s="7" t="s">
        <v>61</v>
      </c>
      <c r="L18" s="4" t="s">
        <v>104</v>
      </c>
      <c r="M18" s="4" t="s">
        <v>29</v>
      </c>
      <c r="N18" s="4"/>
      <c r="O18" s="4"/>
      <c r="P18" s="4"/>
    </row>
  </sheetData>
  <dataValidations count="4">
    <dataValidation allowBlank="true" errorStyle="stop" operator="between" showDropDown="false" showErrorMessage="false" showInputMessage="false" sqref="J5:J18" type="list">
      <formula1>"Pass,Fail,Blocked,Not Executed"</formula1>
      <formula2>0</formula2>
    </dataValidation>
    <dataValidation allowBlank="true" errorStyle="stop" operator="between" showDropDown="false" showErrorMessage="false" showInputMessage="false" sqref="K5:K18" type="list">
      <formula1>"High,Medium,Low"</formula1>
      <formula2>0</formula2>
    </dataValidation>
    <dataValidation allowBlank="true" errorStyle="stop" operator="between" showDropDown="false" showErrorMessage="false" showInputMessage="false" sqref="L5:L18" type="list">
      <formula1>"Critical,Major,Minor,Cosmetic"</formula1>
      <formula2>0</formula2>
    </dataValidation>
    <dataValidation allowBlank="true" errorStyle="stop" operator="between" showDropDown="false" showErrorMessage="false" showInputMessage="false" sqref="M5:M18" type="list">
      <formula1>"Functional,Negative,Boundary,UI,Security,Usability,Integration"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</cols>
  <sheetData>
    <row r="1" customFormat="false" ht="17.35" hidden="false" customHeight="false" outlineLevel="0" collapsed="false">
      <c r="A1" s="1" t="s">
        <v>125</v>
      </c>
    </row>
    <row r="2" customFormat="false" ht="15" hidden="false" customHeight="false" outlineLevel="0" collapsed="false">
      <c r="A2" s="8" t="s">
        <v>126</v>
      </c>
      <c r="B2" s="0" t="n">
        <v>14</v>
      </c>
    </row>
    <row r="3" customFormat="false" ht="15" hidden="false" customHeight="false" outlineLevel="0" collapsed="false">
      <c r="A3" s="8" t="s">
        <v>127</v>
      </c>
      <c r="B3" s="9" t="n">
        <f aca="false">COUNTIF('Test Cases'!J5:J18,"Pass")</f>
        <v>0</v>
      </c>
    </row>
    <row r="4" customFormat="false" ht="15" hidden="false" customHeight="false" outlineLevel="0" collapsed="false">
      <c r="A4" s="8" t="s">
        <v>128</v>
      </c>
      <c r="B4" s="9" t="n">
        <f aca="false">COUNTIF('Test Cases'!J5:J18,"Fail")</f>
        <v>0</v>
      </c>
    </row>
    <row r="5" customFormat="false" ht="15" hidden="false" customHeight="false" outlineLevel="0" collapsed="false">
      <c r="A5" s="8" t="s">
        <v>129</v>
      </c>
      <c r="B5" s="9" t="n">
        <f aca="false">COUNTIF('Test Cases'!J5:J18,"Blocked")</f>
        <v>0</v>
      </c>
    </row>
    <row r="6" customFormat="false" ht="15" hidden="false" customHeight="false" outlineLevel="0" collapsed="false">
      <c r="A6" s="8" t="s">
        <v>26</v>
      </c>
      <c r="B6" s="9" t="n">
        <f aca="false">COUNTIF('Test Cases'!J5:J18,"Not Executed")</f>
        <v>14</v>
      </c>
    </row>
    <row r="7" customFormat="false" ht="15" hidden="false" customHeight="false" outlineLevel="0" collapsed="false">
      <c r="A7" s="8" t="s">
        <v>130</v>
      </c>
      <c r="B7" s="10" t="n">
        <f aca="false">IFERROR(B3/B2,0)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2026-07-22T07:27:01Z</dcterms:created>
  <dc:creator>openpyxl</dc:creator>
  <dc:description/>
  <dc:language>en-US</dc:language>
  <cp:lastModifiedBy/>
  <dcterms:modified xsi:type="dcterms:W3CDTF">2026-07-22T07:27:01Z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