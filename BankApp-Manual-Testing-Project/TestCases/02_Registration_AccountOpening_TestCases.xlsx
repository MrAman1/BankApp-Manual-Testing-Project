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<sst xmlns="http://schemas.openxmlformats.org/spreadsheetml/2006/main" count="169" uniqueCount="113">
  <si>
    <t xml:space="preserve">Registration &amp; Account Opening Module - Test Cases</t>
  </si>
  <si>
    <t xml:space="preserve">Secure Bank | Manual QA Test Artifacts</t>
  </si>
  <si>
    <t xml:space="preserve">Test Case ID</t>
  </si>
  <si>
    <t xml:space="preserve">Module</t>
  </si>
  <si>
    <t xml:space="preserve">Test Scenario</t>
  </si>
  <si>
    <t xml:space="preserve">Test Case Description</t>
  </si>
  <si>
    <t xml:space="preserve">Pre-conditions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</si>
  <si>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</si>
  <si>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</si>
  <si>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</si>
  <si>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</si>
  <si>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</si>
  <si>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</si>
  <si>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Severity</t>
  </si>
  <si>
    <t xml:space="preserve">Test Type</t>
  </si>
  <si>
    <t xml:space="preserve">Executed By</t>
  </si>
  <si>
    <t xml:space="preserve">Execution Date</t>
  </si>
  <si>
    <t xml:space="preserve">Comments</t>
  </si>
  <si>
    <t xml:space="preserve">TC_REG_001</t>
  </si>
  <si>
    <t xml:space="preserve">Registration</t>
  </si>
  <si>
    <t xml:space="preserve">New user registration - valid data</t>
  </si>
  <si>
    <t xml:space="preserve">Verify a new user can register successfully with all valid mandatory details</t>
  </si>
  <si>
    <t xml:space="preserve">Applicant not already registered</t>
  </si>
  <si>
    <t xml:space="preserve">1. Navigate to 'Open an Account' / Register page
2. Fill Name, DOB, Mobile, Email, Aadhaar/PAN, Address
3. Upload KYC documents
4. Submit form</t>
  </si>
  <si>
    <t xml:space="preserve">Name: Rohan Sharma
DOB: 15-Jun-1995
Mobile: 9876543210
Email: rohan@test.com
PAN: ABCDE1234F</t>
  </si>
  <si>
    <t xml:space="preserve">Registration is submitted successfully; confirmation message and reference/application ID displayed</t>
  </si>
  <si>
    <t xml:space="preserve">Not Executed</t>
  </si>
  <si>
    <t xml:space="preserve">High</t>
  </si>
  <si>
    <t xml:space="preserve">Critical</t>
  </si>
  <si>
    <t xml:space="preserve">Functional</t>
  </si>
  <si>
    <t xml:space="preserve">TC_REG_002</t>
  </si>
  <si>
    <t xml:space="preserve">Duplicate mobile number</t>
  </si>
  <si>
    <t xml:space="preserve">Verify system rejects registration when mobile number is already registered</t>
  </si>
  <si>
    <t xml:space="preserve">A user is already registered with the mobile number</t>
  </si>
  <si>
    <t xml:space="preserve">1. Fill registration form with an already-registered mobile number
2. Submit</t>
  </si>
  <si>
    <t xml:space="preserve">Mobile: 9876543210 (existing)</t>
  </si>
  <si>
    <t xml:space="preserve">Error message 'Mobile number already registered' is displayed</t>
  </si>
  <si>
    <t xml:space="preserve">Major</t>
  </si>
  <si>
    <t xml:space="preserve">Negative</t>
  </si>
  <si>
    <t xml:space="preserve">TC_REG_003</t>
  </si>
  <si>
    <t xml:space="preserve">Invalid PAN format</t>
  </si>
  <si>
    <t xml:space="preserve">Verify validation for incorrectly formatted PAN number</t>
  </si>
  <si>
    <t xml:space="preserve">None</t>
  </si>
  <si>
    <t xml:space="preserve">1. Enter an invalid PAN (wrong pattern)
2. Attempt to submit</t>
  </si>
  <si>
    <t xml:space="preserve">PAN: 12345ABCDE</t>
  </si>
  <si>
    <t xml:space="preserve">Inline validation error 'Invalid PAN format' is displayed; form does not submit</t>
  </si>
  <si>
    <t xml:space="preserve">Medium</t>
  </si>
  <si>
    <t xml:space="preserve">TC_REG_004</t>
  </si>
  <si>
    <t xml:space="preserve">Mandatory field validation</t>
  </si>
  <si>
    <t xml:space="preserve">Verify all mandatory fields are validated when left blank</t>
  </si>
  <si>
    <t xml:space="preserve">1. Leave mandatory fields blank
2. Click Submit</t>
  </si>
  <si>
    <t xml:space="preserve">N/A</t>
  </si>
  <si>
    <t xml:space="preserve">Field-level 'This field is required' errors shown for each blank mandatory field</t>
  </si>
  <si>
    <t xml:space="preserve">Minor</t>
  </si>
  <si>
    <t xml:space="preserve">TC_REG_005</t>
  </si>
  <si>
    <t xml:space="preserve">Age eligibility check</t>
  </si>
  <si>
    <t xml:space="preserve">Verify system rejects applicants below minimum eligible age (e.g., 18 years)</t>
  </si>
  <si>
    <t xml:space="preserve">1. Enter DOB corresponding to age below 18
2. Submit form</t>
  </si>
  <si>
    <t xml:space="preserve">DOB: 01-Jan-2015</t>
  </si>
  <si>
    <t xml:space="preserve">Error message 'Applicant must be 18 years or older' is displayed</t>
  </si>
  <si>
    <t xml:space="preserve">Boundary</t>
  </si>
  <si>
    <t xml:space="preserve">TC_REG_006</t>
  </si>
  <si>
    <t xml:space="preserve">Email format validation</t>
  </si>
  <si>
    <t xml:space="preserve">Verify system validates email address format</t>
  </si>
  <si>
    <t xml:space="preserve">1. Enter an invalid email format
2. Move to next field / submit</t>
  </si>
  <si>
    <t xml:space="preserve">Email: rohan@@test</t>
  </si>
  <si>
    <t xml:space="preserve">Validation error 'Enter a valid email address' is displayed</t>
  </si>
  <si>
    <t xml:space="preserve">Low</t>
  </si>
  <si>
    <t xml:space="preserve">TC_REG_007</t>
  </si>
  <si>
    <t xml:space="preserve">Document upload - unsupported format</t>
  </si>
  <si>
    <t xml:space="preserve">Verify system rejects unsupported file types for KYC document upload</t>
  </si>
  <si>
    <t xml:space="preserve">User is on document upload step</t>
  </si>
  <si>
    <t xml:space="preserve">1. Attempt to upload a .exe or .txt file as KYC document</t>
  </si>
  <si>
    <t xml:space="preserve">File: id_proof.exe</t>
  </si>
  <si>
    <t xml:space="preserve">Error 'Unsupported file format, please upload JPG/PNG/PDF' is displayed; file is not accepted</t>
  </si>
  <si>
    <t xml:space="preserve">TC_REG_008</t>
  </si>
  <si>
    <t xml:space="preserve">Document upload - size limit</t>
  </si>
  <si>
    <t xml:space="preserve">Verify system enforces max file size for document upload</t>
  </si>
  <si>
    <t xml:space="preserve">1. Attempt to upload a file larger than the allowed limit (e.g., &gt;5MB)</t>
  </si>
  <si>
    <t xml:space="preserve">File size: 8MB</t>
  </si>
  <si>
    <t xml:space="preserve">Error 'File size exceeds 5MB limit' is displayed; upload is rejected</t>
  </si>
  <si>
    <t xml:space="preserve">TC_REG_009</t>
  </si>
  <si>
    <t xml:space="preserve">OTP verification during registration</t>
  </si>
  <si>
    <t xml:space="preserve">Verify mobile/email OTP verification step works correctly</t>
  </si>
  <si>
    <t xml:space="preserve">User has submitted basic details</t>
  </si>
  <si>
    <t xml:space="preserve">1. Enter correct OTP received on mobile/email
2. Submit</t>
  </si>
  <si>
    <t xml:space="preserve">OTP: 6-digit valid code</t>
  </si>
  <si>
    <t xml:space="preserve">OTP is verified successfully; user proceeds to next registration step</t>
  </si>
  <si>
    <t xml:space="preserve">TC_REG_010</t>
  </si>
  <si>
    <t xml:space="preserve">Incorrect OTP</t>
  </si>
  <si>
    <t xml:space="preserve">Verify system rejects an incorrect OTP with an appropriate error and retry limit</t>
  </si>
  <si>
    <t xml:space="preserve">User has requested OTP</t>
  </si>
  <si>
    <t xml:space="preserve">1. Enter incorrect OTP
2. Submit</t>
  </si>
  <si>
    <t xml:space="preserve">OTP: 000000 (invalid)</t>
  </si>
  <si>
    <t xml:space="preserve">Error 'Invalid OTP, please try again' displayed; retry counter decremented; account not verified</t>
  </si>
  <si>
    <t xml:space="preserve">TC_REG_011</t>
  </si>
  <si>
    <t xml:space="preserve">Terms &amp; Conditions checkbox</t>
  </si>
  <si>
    <t xml:space="preserve">Verify user cannot submit registration without accepting Terms &amp; Conditions</t>
  </si>
  <si>
    <t xml:space="preserve">User has filled all fields</t>
  </si>
  <si>
    <t xml:space="preserve">1. Leave T&amp;C checkbox unchecked
2. Click Submit</t>
  </si>
  <si>
    <t xml:space="preserve">Submission is blocked with message 'Please accept Terms &amp; Conditions to proceed'</t>
  </si>
  <si>
    <t xml:space="preserve">TC_REG_012</t>
  </si>
  <si>
    <t xml:space="preserve">Special characters in Name field</t>
  </si>
  <si>
    <t xml:space="preserve">Verify Name field rejects numeric/special characters</t>
  </si>
  <si>
    <t xml:space="preserve">1. Enter a name containing numbers or special symbols
2. Submit</t>
  </si>
  <si>
    <t xml:space="preserve">Name: Rohan123!@#</t>
  </si>
  <si>
    <t xml:space="preserve">Validation error 'Name should contain only alphabets' is displayed</t>
  </si>
  <si>
    <t xml:space="preserve">Registration &amp; Account Opening - Execution Summary</t>
  </si>
  <si>
    <t xml:space="preserve">Total Test Cases</t>
  </si>
  <si>
    <t xml:space="preserve">Passed</t>
  </si>
  <si>
    <t xml:space="preserve">Failed</t>
  </si>
  <si>
    <t xml:space="preserve">Blocked</t>
  </si>
  <si>
    <t xml:space="preserve">Pass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</si>
</sst>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D9D9"/>
        <bgColor rgb="FFC6EFCE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8" min="8" style="0" width="30"/>
    <col collapsed="false" customWidth="true" hidden="false" outlineLevel="0" max="9" min="9" style="0" width="22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5" min="13" style="0" width="14"/>
    <col collapsed="false" customWidth="true" hidden="false" outlineLevel="0" max="16" min="16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45" hidden="false" customHeight="true" outlineLevel="0" collapsed="false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/>
      <c r="J5" s="5" t="s">
        <v>26</v>
      </c>
      <c r="K5" s="6" t="s">
        <v>27</v>
      </c>
      <c r="L5" s="4" t="s">
        <v>28</v>
      </c>
      <c r="M5" s="4" t="s">
        <v>29</v>
      </c>
      <c r="N5" s="4"/>
      <c r="O5" s="4"/>
      <c r="P5" s="4"/>
    </row>
    <row r="6" customFormat="false" ht="45" hidden="false" customHeight="true" outlineLevel="0" collapsed="false">
      <c r="A6" s="4" t="s">
        <v>30</v>
      </c>
      <c r="B6" s="4" t="s">
        <v>19</v>
      </c>
      <c r="C6" s="4" t="s">
        <v>31</v>
      </c>
      <c r="D6" s="4" t="s">
        <v>32</v>
      </c>
      <c r="E6" s="4" t="s">
        <v>33</v>
      </c>
      <c r="F6" s="4" t="s">
        <v>34</v>
      </c>
      <c r="G6" s="4" t="s">
        <v>35</v>
      </c>
      <c r="H6" s="4" t="s">
        <v>36</v>
      </c>
      <c r="I6" s="4"/>
      <c r="J6" s="5" t="s">
        <v>26</v>
      </c>
      <c r="K6" s="6" t="s">
        <v>27</v>
      </c>
      <c r="L6" s="4" t="s">
        <v>37</v>
      </c>
      <c r="M6" s="4" t="s">
        <v>38</v>
      </c>
      <c r="N6" s="4"/>
      <c r="O6" s="4"/>
      <c r="P6" s="4"/>
    </row>
    <row r="7" customFormat="false" ht="45" hidden="false" customHeight="true" outlineLevel="0" collapsed="false">
      <c r="A7" s="4" t="s">
        <v>39</v>
      </c>
      <c r="B7" s="4" t="s">
        <v>19</v>
      </c>
      <c r="C7" s="4" t="s">
        <v>40</v>
      </c>
      <c r="D7" s="4" t="s">
        <v>41</v>
      </c>
      <c r="E7" s="4" t="s">
        <v>42</v>
      </c>
      <c r="F7" s="4" t="s">
        <v>43</v>
      </c>
      <c r="G7" s="4" t="s">
        <v>44</v>
      </c>
      <c r="H7" s="4" t="s">
        <v>45</v>
      </c>
      <c r="I7" s="4"/>
      <c r="J7" s="5" t="s">
        <v>26</v>
      </c>
      <c r="K7" s="7" t="s">
        <v>46</v>
      </c>
      <c r="L7" s="4" t="s">
        <v>37</v>
      </c>
      <c r="M7" s="4" t="s">
        <v>38</v>
      </c>
      <c r="N7" s="4"/>
      <c r="O7" s="4"/>
      <c r="P7" s="4"/>
    </row>
    <row r="8" customFormat="false" ht="45" hidden="false" customHeight="true" outlineLevel="0" collapsed="false">
      <c r="A8" s="4" t="s">
        <v>47</v>
      </c>
      <c r="B8" s="4" t="s">
        <v>19</v>
      </c>
      <c r="C8" s="4" t="s">
        <v>48</v>
      </c>
      <c r="D8" s="4" t="s">
        <v>49</v>
      </c>
      <c r="E8" s="4" t="s">
        <v>42</v>
      </c>
      <c r="F8" s="4" t="s">
        <v>50</v>
      </c>
      <c r="G8" s="4" t="s">
        <v>51</v>
      </c>
      <c r="H8" s="4" t="s">
        <v>52</v>
      </c>
      <c r="I8" s="4"/>
      <c r="J8" s="5" t="s">
        <v>26</v>
      </c>
      <c r="K8" s="7" t="s">
        <v>46</v>
      </c>
      <c r="L8" s="4" t="s">
        <v>53</v>
      </c>
      <c r="M8" s="4" t="s">
        <v>38</v>
      </c>
      <c r="N8" s="4"/>
      <c r="O8" s="4"/>
      <c r="P8" s="4"/>
    </row>
    <row r="9" customFormat="false" ht="45" hidden="false" customHeight="true" outlineLevel="0" collapsed="false">
      <c r="A9" s="4" t="s">
        <v>54</v>
      </c>
      <c r="B9" s="4" t="s">
        <v>19</v>
      </c>
      <c r="C9" s="4" t="s">
        <v>55</v>
      </c>
      <c r="D9" s="4" t="s">
        <v>56</v>
      </c>
      <c r="E9" s="4" t="s">
        <v>42</v>
      </c>
      <c r="F9" s="4" t="s">
        <v>57</v>
      </c>
      <c r="G9" s="4" t="s">
        <v>58</v>
      </c>
      <c r="H9" s="4" t="s">
        <v>59</v>
      </c>
      <c r="I9" s="4"/>
      <c r="J9" s="5" t="s">
        <v>26</v>
      </c>
      <c r="K9" s="6" t="s">
        <v>27</v>
      </c>
      <c r="L9" s="4" t="s">
        <v>37</v>
      </c>
      <c r="M9" s="4" t="s">
        <v>60</v>
      </c>
      <c r="N9" s="4"/>
      <c r="O9" s="4"/>
      <c r="P9" s="4"/>
    </row>
    <row r="10" customFormat="false" ht="45" hidden="false" customHeight="true" outlineLevel="0" collapsed="false">
      <c r="A10" s="4" t="s">
        <v>61</v>
      </c>
      <c r="B10" s="4" t="s">
        <v>19</v>
      </c>
      <c r="C10" s="4" t="s">
        <v>62</v>
      </c>
      <c r="D10" s="4" t="s">
        <v>63</v>
      </c>
      <c r="E10" s="4" t="s">
        <v>42</v>
      </c>
      <c r="F10" s="4" t="s">
        <v>64</v>
      </c>
      <c r="G10" s="4" t="s">
        <v>65</v>
      </c>
      <c r="H10" s="4" t="s">
        <v>66</v>
      </c>
      <c r="I10" s="4"/>
      <c r="J10" s="5" t="s">
        <v>26</v>
      </c>
      <c r="K10" s="8" t="s">
        <v>67</v>
      </c>
      <c r="L10" s="4" t="s">
        <v>53</v>
      </c>
      <c r="M10" s="4" t="s">
        <v>38</v>
      </c>
      <c r="N10" s="4"/>
      <c r="O10" s="4"/>
      <c r="P10" s="4"/>
    </row>
    <row r="11" customFormat="false" ht="45" hidden="false" customHeight="true" outlineLevel="0" collapsed="false">
      <c r="A11" s="4" t="s">
        <v>68</v>
      </c>
      <c r="B11" s="4" t="s">
        <v>19</v>
      </c>
      <c r="C11" s="4" t="s">
        <v>69</v>
      </c>
      <c r="D11" s="4" t="s">
        <v>70</v>
      </c>
      <c r="E11" s="4" t="s">
        <v>71</v>
      </c>
      <c r="F11" s="4" t="s">
        <v>72</v>
      </c>
      <c r="G11" s="4" t="s">
        <v>73</v>
      </c>
      <c r="H11" s="4" t="s">
        <v>74</v>
      </c>
      <c r="I11" s="4"/>
      <c r="J11" s="5" t="s">
        <v>26</v>
      </c>
      <c r="K11" s="7" t="s">
        <v>46</v>
      </c>
      <c r="L11" s="4" t="s">
        <v>37</v>
      </c>
      <c r="M11" s="4" t="s">
        <v>38</v>
      </c>
      <c r="N11" s="4"/>
      <c r="O11" s="4"/>
      <c r="P11" s="4"/>
    </row>
    <row r="12" customFormat="false" ht="45" hidden="false" customHeight="true" outlineLevel="0" collapsed="false">
      <c r="A12" s="4" t="s">
        <v>75</v>
      </c>
      <c r="B12" s="4" t="s">
        <v>19</v>
      </c>
      <c r="C12" s="4" t="s">
        <v>76</v>
      </c>
      <c r="D12" s="4" t="s">
        <v>77</v>
      </c>
      <c r="E12" s="4" t="s">
        <v>71</v>
      </c>
      <c r="F12" s="4" t="s">
        <v>78</v>
      </c>
      <c r="G12" s="4" t="s">
        <v>79</v>
      </c>
      <c r="H12" s="4" t="s">
        <v>80</v>
      </c>
      <c r="I12" s="4"/>
      <c r="J12" s="5" t="s">
        <v>26</v>
      </c>
      <c r="K12" s="8" t="s">
        <v>67</v>
      </c>
      <c r="L12" s="4" t="s">
        <v>53</v>
      </c>
      <c r="M12" s="4" t="s">
        <v>60</v>
      </c>
      <c r="N12" s="4"/>
      <c r="O12" s="4"/>
      <c r="P12" s="4"/>
    </row>
    <row r="13" customFormat="false" ht="45" hidden="false" customHeight="true" outlineLevel="0" collapsed="false">
      <c r="A13" s="4" t="s">
        <v>81</v>
      </c>
      <c r="B13" s="4" t="s">
        <v>19</v>
      </c>
      <c r="C13" s="4" t="s">
        <v>82</v>
      </c>
      <c r="D13" s="4" t="s">
        <v>83</v>
      </c>
      <c r="E13" s="4" t="s">
        <v>84</v>
      </c>
      <c r="F13" s="4" t="s">
        <v>85</v>
      </c>
      <c r="G13" s="4" t="s">
        <v>86</v>
      </c>
      <c r="H13" s="4" t="s">
        <v>87</v>
      </c>
      <c r="I13" s="4"/>
      <c r="J13" s="5" t="s">
        <v>26</v>
      </c>
      <c r="K13" s="6" t="s">
        <v>27</v>
      </c>
      <c r="L13" s="4" t="s">
        <v>28</v>
      </c>
      <c r="M13" s="4" t="s">
        <v>29</v>
      </c>
      <c r="N13" s="4"/>
      <c r="O13" s="4"/>
      <c r="P13" s="4"/>
    </row>
    <row r="14" customFormat="false" ht="45" hidden="false" customHeight="true" outlineLevel="0" collapsed="false">
      <c r="A14" s="4" t="s">
        <v>88</v>
      </c>
      <c r="B14" s="4" t="s">
        <v>19</v>
      </c>
      <c r="C14" s="4" t="s">
        <v>89</v>
      </c>
      <c r="D14" s="4" t="s">
        <v>90</v>
      </c>
      <c r="E14" s="4" t="s">
        <v>91</v>
      </c>
      <c r="F14" s="4" t="s">
        <v>92</v>
      </c>
      <c r="G14" s="4" t="s">
        <v>93</v>
      </c>
      <c r="H14" s="4" t="s">
        <v>94</v>
      </c>
      <c r="I14" s="4"/>
      <c r="J14" s="5" t="s">
        <v>26</v>
      </c>
      <c r="K14" s="6" t="s">
        <v>27</v>
      </c>
      <c r="L14" s="4" t="s">
        <v>37</v>
      </c>
      <c r="M14" s="4" t="s">
        <v>38</v>
      </c>
      <c r="N14" s="4"/>
      <c r="O14" s="4"/>
      <c r="P14" s="4"/>
    </row>
    <row r="15" customFormat="false" ht="45" hidden="false" customHeight="true" outlineLevel="0" collapsed="false">
      <c r="A15" s="4" t="s">
        <v>95</v>
      </c>
      <c r="B15" s="4" t="s">
        <v>19</v>
      </c>
      <c r="C15" s="4" t="s">
        <v>96</v>
      </c>
      <c r="D15" s="4" t="s">
        <v>97</v>
      </c>
      <c r="E15" s="4" t="s">
        <v>98</v>
      </c>
      <c r="F15" s="4" t="s">
        <v>99</v>
      </c>
      <c r="G15" s="4" t="s">
        <v>51</v>
      </c>
      <c r="H15" s="4" t="s">
        <v>100</v>
      </c>
      <c r="I15" s="4"/>
      <c r="J15" s="5" t="s">
        <v>26</v>
      </c>
      <c r="K15" s="7" t="s">
        <v>46</v>
      </c>
      <c r="L15" s="4" t="s">
        <v>53</v>
      </c>
      <c r="M15" s="4" t="s">
        <v>38</v>
      </c>
      <c r="N15" s="4"/>
      <c r="O15" s="4"/>
      <c r="P15" s="4"/>
    </row>
    <row r="16" customFormat="false" ht="45" hidden="false" customHeight="true" outlineLevel="0" collapsed="false">
      <c r="A16" s="4" t="s">
        <v>101</v>
      </c>
      <c r="B16" s="4" t="s">
        <v>19</v>
      </c>
      <c r="C16" s="4" t="s">
        <v>102</v>
      </c>
      <c r="D16" s="4" t="s">
        <v>103</v>
      </c>
      <c r="E16" s="4" t="s">
        <v>42</v>
      </c>
      <c r="F16" s="4" t="s">
        <v>104</v>
      </c>
      <c r="G16" s="4" t="s">
        <v>105</v>
      </c>
      <c r="H16" s="4" t="s">
        <v>106</v>
      </c>
      <c r="I16" s="4"/>
      <c r="J16" s="5" t="s">
        <v>26</v>
      </c>
      <c r="K16" s="8" t="s">
        <v>67</v>
      </c>
      <c r="L16" s="4" t="s">
        <v>53</v>
      </c>
      <c r="M16" s="4" t="s">
        <v>38</v>
      </c>
      <c r="N16" s="4"/>
      <c r="O16" s="4"/>
      <c r="P16" s="4"/>
    </row>
  </sheetData>
  <dataValidations count="4">
    <dataValidation allowBlank="true" errorStyle="stop" operator="between" showDropDown="false" showErrorMessage="false" showInputMessage="false" sqref="J5:J16" type="list">
      <formula1>"Pass,Fail,Blocked,Not Executed"</formula1>
      <formula2>0</formula2>
    </dataValidation>
    <dataValidation allowBlank="true" errorStyle="stop" operator="between" showDropDown="false" showErrorMessage="false" showInputMessage="false" sqref="K5:K16" type="list">
      <formula1>"High,Medium,Low"</formula1>
      <formula2>0</formula2>
    </dataValidation>
    <dataValidation allowBlank="true" errorStyle="stop" operator="between" showDropDown="false" showErrorMessage="false" showInputMessage="false" sqref="L5:L16" type="list">
      <formula1>"Critical,Major,Minor,Cosmetic"</formula1>
      <formula2>0</formula2>
    </dataValidation>
    <dataValidation allowBlank="true" errorStyle="stop" operator="between" showDropDown="false" showErrorMessage="false" showInputMessage="false" sqref="M5:M16" type="list">
      <formula1>"Functional,Negative,Boundary,UI,Security,Usability,Integration"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9" t="s">
        <v>108</v>
      </c>
      <c r="B2" s="0" t="n">
        <v>12</v>
      </c>
    </row>
    <row r="3" customFormat="false" ht="15" hidden="false" customHeight="false" outlineLevel="0" collapsed="false">
      <c r="A3" s="9" t="s">
        <v>109</v>
      </c>
      <c r="B3" s="10" t="n">
        <f aca="false">COUNTIF('Test Cases'!J5:J16,"Pass")</f>
        <v>0</v>
      </c>
    </row>
    <row r="4" customFormat="false" ht="15" hidden="false" customHeight="false" outlineLevel="0" collapsed="false">
      <c r="A4" s="9" t="s">
        <v>110</v>
      </c>
      <c r="B4" s="10" t="n">
        <f aca="false">COUNTIF('Test Cases'!J5:J16,"Fail")</f>
        <v>0</v>
      </c>
    </row>
    <row r="5" customFormat="false" ht="15" hidden="false" customHeight="false" outlineLevel="0" collapsed="false">
      <c r="A5" s="9" t="s">
        <v>111</v>
      </c>
      <c r="B5" s="10" t="n">
        <f aca="false">COUNTIF('Test Cases'!J5:J16,"Blocked")</f>
        <v>0</v>
      </c>
    </row>
    <row r="6" customFormat="false" ht="15" hidden="false" customHeight="false" outlineLevel="0" collapsed="false">
      <c r="A6" s="9" t="s">
        <v>26</v>
      </c>
      <c r="B6" s="10" t="n">
        <f aca="false">COUNTIF('Test Cases'!J5:J16,"Not Executed")</f>
        <v>12</v>
      </c>
    </row>
    <row r="7" customFormat="false" ht="15" hidden="false" customHeight="false" outlineLevel="0" collapsed="false">
      <c r="A7" s="9" t="s">
        <v>112</v>
      </c>
      <c r="B7" s="11" t="n">
        <f aca="false">IFERROR(B3/B2,0)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2026-07-22T07:27:01Z</dcterms:created>
  <dc:creator>openpyxl</dc:creator>
  <dc:description/>
  <dc:language>en-US</dc:language>
  <cp:lastModifiedBy/>
  <dcterms:modified xsi:type="dcterms:W3CDTF">2026-07-22T07:27:01Z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