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<sst xmlns="http://schemas.openxmlformats.org/spreadsheetml/2006/main" count="205" uniqueCount="134">
  <si>
    <t xml:space="preserve">Login &amp; Authentication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</si>
  <si>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</si>
  <si>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</si>
  <si>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</si>
  <si>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</si>
  <si>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</si>
  <si>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</si>
  <si>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</si>
  <si>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</si>
  <si>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</si>
  <si>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</si>
  <si>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</si>
  <si>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</si>
  <si>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</si>
  <si>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</si>
  <si>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</si>
  <si>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</si>
  <si>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</si>
  <si>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TC_LOGIN_001</t>
  </si>
  <si>
    <t xml:space="preserve">Login</t>
  </si>
  <si>
    <t xml:space="preserve">Valid login</t>
  </si>
  <si>
    <t xml:space="preserve">Verify user can login with valid registered username and password</t>
  </si>
  <si>
    <t xml:space="preserve">User has an active registered account</t>
  </si>
  <si>
    <t xml:space="preserve">1. Navigate to login page
2. Enter valid Customer ID
3. Enter valid password
4. Click Login</t>
  </si>
  <si>
    <t xml:space="preserve">Customer ID: BANK1024
Password: Valid@123</t>
  </si>
  <si>
    <t xml:space="preserve">User is redirected to Dashboard/Home page with account summary visible</t>
  </si>
  <si>
    <t xml:space="preserve">Not Executed</t>
  </si>
  <si>
    <t xml:space="preserve">High</t>
  </si>
  <si>
    <t xml:space="preserve">Critical</t>
  </si>
  <si>
    <t xml:space="preserve">Functional</t>
  </si>
  <si>
    <t xml:space="preserve">TC_LOGIN_002</t>
  </si>
  <si>
    <t xml:space="preserve">Invalid password</t>
  </si>
  <si>
    <t xml:space="preserve">Verify system rejects login with correct ID but wrong password</t>
  </si>
  <si>
    <t xml:space="preserve">1. Navigate to login page
2. Enter valid Customer ID
3. Enter incorrect password
4. Click Login</t>
  </si>
  <si>
    <t xml:space="preserve">Customer ID: BANK1024
Password: Wrong@123</t>
  </si>
  <si>
    <t xml:space="preserve">Error message 'Invalid credentials' is displayed; user remains on login page</t>
  </si>
  <si>
    <t xml:space="preserve">Major</t>
  </si>
  <si>
    <t xml:space="preserve">Negative</t>
  </si>
  <si>
    <t xml:space="preserve">TC_LOGIN_003</t>
  </si>
  <si>
    <t xml:space="preserve">Invalid Customer ID</t>
  </si>
  <si>
    <t xml:space="preserve">Verify system rejects login with unregistered Customer ID</t>
  </si>
  <si>
    <t xml:space="preserve">None</t>
  </si>
  <si>
    <t xml:space="preserve">1. Navigate to login page
2. Enter unregistered Customer ID
3. Enter any password
4. Click Login</t>
  </si>
  <si>
    <t xml:space="preserve">Customer ID: BANK9999999
Password: Test@123</t>
  </si>
  <si>
    <t xml:space="preserve">Error message 'User not found / Invalid credentials' is displayed</t>
  </si>
  <si>
    <t xml:space="preserve">TC_LOGIN_004</t>
  </si>
  <si>
    <t xml:space="preserve">Blank credentials</t>
  </si>
  <si>
    <t xml:space="preserve">Verify validation when Login button is clicked with empty fields</t>
  </si>
  <si>
    <t xml:space="preserve">1. Navigate to login page
2. Leave Customer ID and Password blank
3. Click Login</t>
  </si>
  <si>
    <t xml:space="preserve">Customer ID: (blank)
Password: (blank)</t>
  </si>
  <si>
    <t xml:space="preserve">Field-level validation messages 'Customer ID is required' and 'Password is required' are displayed</t>
  </si>
  <si>
    <t xml:space="preserve">Medium</t>
  </si>
  <si>
    <t xml:space="preserve">Minor</t>
  </si>
  <si>
    <t xml:space="preserve">TC_LOGIN_005</t>
  </si>
  <si>
    <t xml:space="preserve">Account lockout after failed attempts</t>
  </si>
  <si>
    <t xml:space="preserve">Verify account is locked after 3 consecutive invalid login attempts</t>
  </si>
  <si>
    <t xml:space="preserve">1. Attempt login with wrong password 3 times
2. Observe system behavior on 3rd/4th attempt</t>
  </si>
  <si>
    <t xml:space="preserve">Password: Wrong@123 (x3)</t>
  </si>
  <si>
    <t xml:space="preserve">Account gets locked and message 'Account locked, please contact bank / reset password' is displayed; further login blocked</t>
  </si>
  <si>
    <t xml:space="preserve">Security</t>
  </si>
  <si>
    <t xml:space="preserve">TC_LOGIN_006</t>
  </si>
  <si>
    <t xml:space="preserve">Password masking</t>
  </si>
  <si>
    <t xml:space="preserve">Verify password field masks characters as user types</t>
  </si>
  <si>
    <t xml:space="preserve">User is on login page</t>
  </si>
  <si>
    <t xml:space="preserve">1. Click on password field
2. Type password</t>
  </si>
  <si>
    <t xml:space="preserve">Password: Test@123</t>
  </si>
  <si>
    <t xml:space="preserve">Characters are masked with dots/asterisks; a show/hide toggle works correctly</t>
  </si>
  <si>
    <t xml:space="preserve">Cosmetic</t>
  </si>
  <si>
    <t xml:space="preserve">UI</t>
  </si>
  <si>
    <t xml:space="preserve">TC_LOGIN_007</t>
  </si>
  <si>
    <t xml:space="preserve">SQL Injection attempt</t>
  </si>
  <si>
    <t xml:space="preserve">Verify login form is not vulnerable to SQL injection</t>
  </si>
  <si>
    <t xml:space="preserve">1. Enter SQL injection string in Customer ID field
2. Enter any password
3. Click Login</t>
  </si>
  <si>
    <t xml:space="preserve">Customer ID: ' OR '1'='1
Password: anything</t>
  </si>
  <si>
    <t xml:space="preserve">Login fails safely with generic invalid credentials message; no database error or unauthorized access</t>
  </si>
  <si>
    <t xml:space="preserve">TC_LOGIN_008</t>
  </si>
  <si>
    <t xml:space="preserve">Session timeout</t>
  </si>
  <si>
    <t xml:space="preserve">Verify user session expires after prolonged inactivity</t>
  </si>
  <si>
    <t xml:space="preserve">User is logged in</t>
  </si>
  <si>
    <t xml:space="preserve">1. Login successfully
2. Remain idle for the configured session timeout (e.g. 10 minutes)
3. Try to perform an action</t>
  </si>
  <si>
    <t xml:space="preserve">Idle time: 10+ minutes</t>
  </si>
  <si>
    <t xml:space="preserve">Session expires; user is redirected to login page with message 'Session expired, please login again'</t>
  </si>
  <si>
    <t xml:space="preserve">TC_LOGIN_009</t>
  </si>
  <si>
    <t xml:space="preserve">Forgot Password link</t>
  </si>
  <si>
    <t xml:space="preserve">Verify 'Forgot Password' link navigates to password reset flow</t>
  </si>
  <si>
    <t xml:space="preserve">1. Click 'Forgot Password' link</t>
  </si>
  <si>
    <t xml:space="preserve">N/A</t>
  </si>
  <si>
    <t xml:space="preserve">User is navigated to Forgot Password/Reset Password screen</t>
  </si>
  <si>
    <t xml:space="preserve">TC_LOGIN_010</t>
  </si>
  <si>
    <t xml:space="preserve">Login with Caps Lock on</t>
  </si>
  <si>
    <t xml:space="preserve">Verify system shows a Caps Lock warning when typing password</t>
  </si>
  <si>
    <t xml:space="preserve">User is on login page, Caps Lock enabled</t>
  </si>
  <si>
    <t xml:space="preserve">1. Enable Caps Lock
2. Click into password field and type</t>
  </si>
  <si>
    <t xml:space="preserve">Password: TEST@123</t>
  </si>
  <si>
    <t xml:space="preserve">A 'Caps Lock is ON' warning is displayed near the password field</t>
  </si>
  <si>
    <t xml:space="preserve">Low</t>
  </si>
  <si>
    <t xml:space="preserve">TC_LOGIN_011</t>
  </si>
  <si>
    <t xml:space="preserve">Multiple device/browser session</t>
  </si>
  <si>
    <t xml:space="preserve">Verify behavior when the same user logs in from a second device</t>
  </si>
  <si>
    <t xml:space="preserve">User already logged in on Device A</t>
  </si>
  <si>
    <t xml:space="preserve">1. Login on Device A
2. Login with same credentials on Device B</t>
  </si>
  <si>
    <t xml:space="preserve">Same Customer ID and password on 2 devices</t>
  </si>
  <si>
    <t xml:space="preserve">As per business rule: either both sessions remain active, or Device A session is terminated with a notification — verify against requirement doc</t>
  </si>
  <si>
    <t xml:space="preserve">TC_LOGIN_012</t>
  </si>
  <si>
    <t xml:space="preserve">Browser back button after logout</t>
  </si>
  <si>
    <t xml:space="preserve">Verify secured pages are not accessible via browser back button after logout</t>
  </si>
  <si>
    <t xml:space="preserve">User has logged out</t>
  </si>
  <si>
    <t xml:space="preserve">1. Login
2. Logout
3. Click browser Back button</t>
  </si>
  <si>
    <t xml:space="preserve">User is redirected to login page; cached dashboard data is not shown</t>
  </si>
  <si>
    <t xml:space="preserve">TC_LOGIN_013</t>
  </si>
  <si>
    <t xml:space="preserve">Field length boundary - Customer ID</t>
  </si>
  <si>
    <t xml:space="preserve">Verify Customer ID field enforces max character length</t>
  </si>
  <si>
    <t xml:space="preserve">1. Enter a Customer ID exceeding the max allowed length (e.g. 21 chars for a 20-char limit)
2. Click Login</t>
  </si>
  <si>
    <t xml:space="preserve">Customer ID: 21-character string</t>
  </si>
  <si>
    <t xml:space="preserve">Field either restricts input beyond limit or shows validation error; no crash/truncation error</t>
  </si>
  <si>
    <t xml:space="preserve">Boundary</t>
  </si>
  <si>
    <t xml:space="preserve">TC_LOGIN_014</t>
  </si>
  <si>
    <t xml:space="preserve">Login via biometric/OTP (mobile app)</t>
  </si>
  <si>
    <t xml:space="preserve">Verify login using registered biometric or OTP-based 2FA on mobile app</t>
  </si>
  <si>
    <t xml:space="preserve">User has enabled biometric/2FA login</t>
  </si>
  <si>
    <t xml:space="preserve">1. Open mobile app
2. Choose biometric/OTP login
3. Authenticate</t>
  </si>
  <si>
    <t xml:space="preserve">Registered fingerprint/Face ID or valid OTP</t>
  </si>
  <si>
    <t xml:space="preserve">User is logged in successfully and redirected to dashboard</t>
  </si>
  <si>
    <t xml:space="preserve">TC_LOGIN_015</t>
  </si>
  <si>
    <t xml:space="preserve">UI responsiveness</t>
  </si>
  <si>
    <t xml:space="preserve">Verify login screen renders correctly across Chrome, Firefox, Edge and mobile viewport</t>
  </si>
  <si>
    <t xml:space="preserve">1. Open login page on each supported browser/device
2. Visually inspect layout, alignment and font</t>
  </si>
  <si>
    <t xml:space="preserve">Login page renders consistently with no overlapping elements or broken layout on all supported browsers/devices</t>
  </si>
  <si>
    <t xml:space="preserve">Login &amp; Authentication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</si>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</sst>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22</v>
      </c>
      <c r="F6" s="4" t="s">
        <v>33</v>
      </c>
      <c r="G6" s="4" t="s">
        <v>34</v>
      </c>
      <c r="H6" s="4" t="s">
        <v>35</v>
      </c>
      <c r="I6" s="4"/>
      <c r="J6" s="5" t="s">
        <v>26</v>
      </c>
      <c r="K6" s="6" t="s">
        <v>27</v>
      </c>
      <c r="L6" s="4" t="s">
        <v>36</v>
      </c>
      <c r="M6" s="4" t="s">
        <v>37</v>
      </c>
      <c r="N6" s="4"/>
      <c r="O6" s="4"/>
      <c r="P6" s="4"/>
    </row>
    <row r="7" customFormat="false" ht="45" hidden="false" customHeight="true" outlineLevel="0" collapsed="false">
      <c r="A7" s="4" t="s">
        <v>38</v>
      </c>
      <c r="B7" s="4" t="s">
        <v>19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/>
      <c r="J7" s="5" t="s">
        <v>26</v>
      </c>
      <c r="K7" s="6" t="s">
        <v>27</v>
      </c>
      <c r="L7" s="4" t="s">
        <v>36</v>
      </c>
      <c r="M7" s="4" t="s">
        <v>37</v>
      </c>
      <c r="N7" s="4"/>
      <c r="O7" s="4"/>
      <c r="P7" s="4"/>
    </row>
    <row r="8" customFormat="false" ht="45" hidden="false" customHeight="true" outlineLevel="0" collapsed="false">
      <c r="A8" s="4" t="s">
        <v>45</v>
      </c>
      <c r="B8" s="4" t="s">
        <v>19</v>
      </c>
      <c r="C8" s="4" t="s">
        <v>46</v>
      </c>
      <c r="D8" s="4" t="s">
        <v>47</v>
      </c>
      <c r="E8" s="4" t="s">
        <v>41</v>
      </c>
      <c r="F8" s="4" t="s">
        <v>48</v>
      </c>
      <c r="G8" s="4" t="s">
        <v>49</v>
      </c>
      <c r="H8" s="4" t="s">
        <v>50</v>
      </c>
      <c r="I8" s="4"/>
      <c r="J8" s="5" t="s">
        <v>26</v>
      </c>
      <c r="K8" s="7" t="s">
        <v>51</v>
      </c>
      <c r="L8" s="4" t="s">
        <v>52</v>
      </c>
      <c r="M8" s="4" t="s">
        <v>37</v>
      </c>
      <c r="N8" s="4"/>
      <c r="O8" s="4"/>
      <c r="P8" s="4"/>
    </row>
    <row r="9" customFormat="false" ht="45" hidden="false" customHeight="true" outlineLevel="0" collapsed="false">
      <c r="A9" s="4" t="s">
        <v>53</v>
      </c>
      <c r="B9" s="4" t="s">
        <v>19</v>
      </c>
      <c r="C9" s="4" t="s">
        <v>54</v>
      </c>
      <c r="D9" s="4" t="s">
        <v>55</v>
      </c>
      <c r="E9" s="4" t="s">
        <v>22</v>
      </c>
      <c r="F9" s="4" t="s">
        <v>56</v>
      </c>
      <c r="G9" s="4" t="s">
        <v>57</v>
      </c>
      <c r="H9" s="4" t="s">
        <v>58</v>
      </c>
      <c r="I9" s="4"/>
      <c r="J9" s="5" t="s">
        <v>26</v>
      </c>
      <c r="K9" s="6" t="s">
        <v>27</v>
      </c>
      <c r="L9" s="4" t="s">
        <v>28</v>
      </c>
      <c r="M9" s="4" t="s">
        <v>59</v>
      </c>
      <c r="N9" s="4"/>
      <c r="O9" s="4"/>
      <c r="P9" s="4"/>
    </row>
    <row r="10" customFormat="false" ht="45" hidden="false" customHeight="true" outlineLevel="0" collapsed="false">
      <c r="A10" s="4" t="s">
        <v>60</v>
      </c>
      <c r="B10" s="4" t="s">
        <v>19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/>
      <c r="J10" s="5" t="s">
        <v>26</v>
      </c>
      <c r="K10" s="7" t="s">
        <v>51</v>
      </c>
      <c r="L10" s="4" t="s">
        <v>67</v>
      </c>
      <c r="M10" s="4" t="s">
        <v>68</v>
      </c>
      <c r="N10" s="4"/>
      <c r="O10" s="4"/>
      <c r="P10" s="4"/>
    </row>
    <row r="11" customFormat="false" ht="45" hidden="false" customHeight="true" outlineLevel="0" collapsed="false">
      <c r="A11" s="4" t="s">
        <v>69</v>
      </c>
      <c r="B11" s="4" t="s">
        <v>19</v>
      </c>
      <c r="C11" s="4" t="s">
        <v>70</v>
      </c>
      <c r="D11" s="4" t="s">
        <v>71</v>
      </c>
      <c r="E11" s="4" t="s">
        <v>41</v>
      </c>
      <c r="F11" s="4" t="s">
        <v>72</v>
      </c>
      <c r="G11" s="4" t="s">
        <v>73</v>
      </c>
      <c r="H11" s="4" t="s">
        <v>74</v>
      </c>
      <c r="I11" s="4"/>
      <c r="J11" s="5" t="s">
        <v>26</v>
      </c>
      <c r="K11" s="6" t="s">
        <v>27</v>
      </c>
      <c r="L11" s="4" t="s">
        <v>28</v>
      </c>
      <c r="M11" s="4" t="s">
        <v>59</v>
      </c>
      <c r="N11" s="4"/>
      <c r="O11" s="4"/>
      <c r="P11" s="4"/>
    </row>
    <row r="12" customFormat="false" ht="45" hidden="false" customHeight="true" outlineLevel="0" collapsed="false">
      <c r="A12" s="4" t="s">
        <v>75</v>
      </c>
      <c r="B12" s="4" t="s">
        <v>19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  <c r="I12" s="4"/>
      <c r="J12" s="5" t="s">
        <v>26</v>
      </c>
      <c r="K12" s="6" t="s">
        <v>27</v>
      </c>
      <c r="L12" s="4" t="s">
        <v>36</v>
      </c>
      <c r="M12" s="4" t="s">
        <v>59</v>
      </c>
      <c r="N12" s="4"/>
      <c r="O12" s="4"/>
      <c r="P12" s="4"/>
    </row>
    <row r="13" customFormat="false" ht="45" hidden="false" customHeight="true" outlineLevel="0" collapsed="false">
      <c r="A13" s="4" t="s">
        <v>82</v>
      </c>
      <c r="B13" s="4" t="s">
        <v>19</v>
      </c>
      <c r="C13" s="4" t="s">
        <v>83</v>
      </c>
      <c r="D13" s="4" t="s">
        <v>84</v>
      </c>
      <c r="E13" s="4" t="s">
        <v>63</v>
      </c>
      <c r="F13" s="4" t="s">
        <v>85</v>
      </c>
      <c r="G13" s="4" t="s">
        <v>86</v>
      </c>
      <c r="H13" s="4" t="s">
        <v>87</v>
      </c>
      <c r="I13" s="4"/>
      <c r="J13" s="5" t="s">
        <v>26</v>
      </c>
      <c r="K13" s="7" t="s">
        <v>51</v>
      </c>
      <c r="L13" s="4" t="s">
        <v>52</v>
      </c>
      <c r="M13" s="4" t="s">
        <v>29</v>
      </c>
      <c r="N13" s="4"/>
      <c r="O13" s="4"/>
      <c r="P13" s="4"/>
    </row>
    <row r="14" customFormat="false" ht="45" hidden="false" customHeight="true" outlineLevel="0" collapsed="false">
      <c r="A14" s="4" t="s">
        <v>88</v>
      </c>
      <c r="B14" s="4" t="s">
        <v>19</v>
      </c>
      <c r="C14" s="4" t="s">
        <v>89</v>
      </c>
      <c r="D14" s="4" t="s">
        <v>90</v>
      </c>
      <c r="E14" s="4" t="s">
        <v>91</v>
      </c>
      <c r="F14" s="4" t="s">
        <v>92</v>
      </c>
      <c r="G14" s="4" t="s">
        <v>93</v>
      </c>
      <c r="H14" s="4" t="s">
        <v>94</v>
      </c>
      <c r="I14" s="4"/>
      <c r="J14" s="5" t="s">
        <v>26</v>
      </c>
      <c r="K14" s="8" t="s">
        <v>95</v>
      </c>
      <c r="L14" s="4" t="s">
        <v>67</v>
      </c>
      <c r="M14" s="4" t="s">
        <v>68</v>
      </c>
      <c r="N14" s="4"/>
      <c r="O14" s="4"/>
      <c r="P14" s="4"/>
    </row>
    <row r="15" customFormat="false" ht="45" hidden="false" customHeight="true" outlineLevel="0" collapsed="false">
      <c r="A15" s="4" t="s">
        <v>96</v>
      </c>
      <c r="B15" s="4" t="s">
        <v>19</v>
      </c>
      <c r="C15" s="4" t="s">
        <v>97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102</v>
      </c>
      <c r="I15" s="4"/>
      <c r="J15" s="5" t="s">
        <v>26</v>
      </c>
      <c r="K15" s="7" t="s">
        <v>51</v>
      </c>
      <c r="L15" s="4" t="s">
        <v>36</v>
      </c>
      <c r="M15" s="4" t="s">
        <v>29</v>
      </c>
      <c r="N15" s="4"/>
      <c r="O15" s="4"/>
      <c r="P15" s="4"/>
    </row>
    <row r="16" customFormat="false" ht="45" hidden="false" customHeight="true" outlineLevel="0" collapsed="false">
      <c r="A16" s="4" t="s">
        <v>103</v>
      </c>
      <c r="B16" s="4" t="s">
        <v>19</v>
      </c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86</v>
      </c>
      <c r="H16" s="4" t="s">
        <v>108</v>
      </c>
      <c r="I16" s="4"/>
      <c r="J16" s="5" t="s">
        <v>26</v>
      </c>
      <c r="K16" s="6" t="s">
        <v>27</v>
      </c>
      <c r="L16" s="4" t="s">
        <v>36</v>
      </c>
      <c r="M16" s="4" t="s">
        <v>59</v>
      </c>
      <c r="N16" s="4"/>
      <c r="O16" s="4"/>
      <c r="P16" s="4"/>
    </row>
    <row r="17" customFormat="false" ht="45" hidden="false" customHeight="true" outlineLevel="0" collapsed="false">
      <c r="A17" s="4" t="s">
        <v>109</v>
      </c>
      <c r="B17" s="4" t="s">
        <v>19</v>
      </c>
      <c r="C17" s="4" t="s">
        <v>110</v>
      </c>
      <c r="D17" s="4" t="s">
        <v>111</v>
      </c>
      <c r="E17" s="4" t="s">
        <v>41</v>
      </c>
      <c r="F17" s="4" t="s">
        <v>112</v>
      </c>
      <c r="G17" s="4" t="s">
        <v>113</v>
      </c>
      <c r="H17" s="4" t="s">
        <v>114</v>
      </c>
      <c r="I17" s="4"/>
      <c r="J17" s="5" t="s">
        <v>26</v>
      </c>
      <c r="K17" s="8" t="s">
        <v>95</v>
      </c>
      <c r="L17" s="4" t="s">
        <v>52</v>
      </c>
      <c r="M17" s="4" t="s">
        <v>115</v>
      </c>
      <c r="N17" s="4"/>
      <c r="O17" s="4"/>
      <c r="P17" s="4"/>
    </row>
    <row r="18" customFormat="false" ht="45" hidden="false" customHeight="true" outlineLevel="0" collapsed="false">
      <c r="A18" s="4" t="s">
        <v>116</v>
      </c>
      <c r="B18" s="4" t="s">
        <v>19</v>
      </c>
      <c r="C18" s="4" t="s">
        <v>117</v>
      </c>
      <c r="D18" s="4" t="s">
        <v>118</v>
      </c>
      <c r="E18" s="4" t="s">
        <v>119</v>
      </c>
      <c r="F18" s="4" t="s">
        <v>120</v>
      </c>
      <c r="G18" s="4" t="s">
        <v>121</v>
      </c>
      <c r="H18" s="4" t="s">
        <v>122</v>
      </c>
      <c r="I18" s="4"/>
      <c r="J18" s="5" t="s">
        <v>26</v>
      </c>
      <c r="K18" s="6" t="s">
        <v>27</v>
      </c>
      <c r="L18" s="4" t="s">
        <v>28</v>
      </c>
      <c r="M18" s="4" t="s">
        <v>29</v>
      </c>
      <c r="N18" s="4"/>
      <c r="O18" s="4"/>
      <c r="P18" s="4"/>
    </row>
    <row r="19" customFormat="false" ht="45" hidden="false" customHeight="true" outlineLevel="0" collapsed="false">
      <c r="A19" s="4" t="s">
        <v>123</v>
      </c>
      <c r="B19" s="4" t="s">
        <v>19</v>
      </c>
      <c r="C19" s="4" t="s">
        <v>124</v>
      </c>
      <c r="D19" s="4" t="s">
        <v>125</v>
      </c>
      <c r="E19" s="4" t="s">
        <v>41</v>
      </c>
      <c r="F19" s="4" t="s">
        <v>126</v>
      </c>
      <c r="G19" s="4" t="s">
        <v>86</v>
      </c>
      <c r="H19" s="4" t="s">
        <v>127</v>
      </c>
      <c r="I19" s="4"/>
      <c r="J19" s="5" t="s">
        <v>26</v>
      </c>
      <c r="K19" s="7" t="s">
        <v>51</v>
      </c>
      <c r="L19" s="4" t="s">
        <v>52</v>
      </c>
      <c r="M19" s="4" t="s">
        <v>68</v>
      </c>
      <c r="N19" s="4"/>
      <c r="O19" s="4"/>
      <c r="P19" s="4"/>
    </row>
  </sheetData>
  <dataValidations count="4">
    <dataValidation allowBlank="true" errorStyle="stop" operator="between" showDropDown="false" showErrorMessage="false" showInputMessage="false" sqref="J5:J19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9" type="list">
      <formula1>"High,Medium,Low"</formula1>
      <formula2>0</formula2>
    </dataValidation>
    <dataValidation allowBlank="true" errorStyle="stop" operator="between" showDropDown="false" showErrorMessage="false" showInputMessage="false" sqref="L5:L19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9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9" t="s">
        <v>129</v>
      </c>
      <c r="B2" s="0" t="n">
        <v>15</v>
      </c>
    </row>
    <row r="3" customFormat="false" ht="15" hidden="false" customHeight="false" outlineLevel="0" collapsed="false">
      <c r="A3" s="9" t="s">
        <v>130</v>
      </c>
      <c r="B3" s="10" t="n">
        <f aca="false">COUNTIF('Test Cases'!J5:J19,"Pass")</f>
        <v>0</v>
      </c>
    </row>
    <row r="4" customFormat="false" ht="15" hidden="false" customHeight="false" outlineLevel="0" collapsed="false">
      <c r="A4" s="9" t="s">
        <v>131</v>
      </c>
      <c r="B4" s="10" t="n">
        <f aca="false">COUNTIF('Test Cases'!J5:J19,"Fail")</f>
        <v>0</v>
      </c>
    </row>
    <row r="5" customFormat="false" ht="15" hidden="false" customHeight="false" outlineLevel="0" collapsed="false">
      <c r="A5" s="9" t="s">
        <v>132</v>
      </c>
      <c r="B5" s="10" t="n">
        <f aca="false">COUNTIF('Test Cases'!J5:J19,"Blocked")</f>
        <v>0</v>
      </c>
    </row>
    <row r="6" customFormat="false" ht="15" hidden="false" customHeight="false" outlineLevel="0" collapsed="false">
      <c r="A6" s="9" t="s">
        <v>26</v>
      </c>
      <c r="B6" s="10" t="n">
        <f aca="false">COUNTIF('Test Cases'!J5:J19,"Not Executed")</f>
        <v>15</v>
      </c>
    </row>
    <row r="7" customFormat="false" ht="15" hidden="false" customHeight="false" outlineLevel="0" collapsed="false">
      <c r="A7" s="9" t="s">
        <v>133</v>
      </c>
      <c r="B7" s="11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