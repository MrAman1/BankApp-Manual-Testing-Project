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<sst xmlns="http://schemas.openxmlformats.org/spreadsheetml/2006/main" count="121" uniqueCount="90">
  <si>
    <t xml:space="preserve">Loan Module - Test Cases</t>
  </si>
  <si>
    <t xml:space="preserve">Secure Bank | Manual QA Test Artifacts</t>
  </si>
  <si>
    <t xml:space="preserve">Test Case ID</t>
  </si>
  <si>
    <t xml:space="preserve">Module</t>
  </si>
  <si>
    <t xml:space="preserve">Test Scenario</t>
  </si>
  <si>
    <t xml:space="preserve">Test Case Description</t>
  </si>
  <si>
    <t xml:space="preserve">Pre-conditions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</si>
  <si>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</si>
  <si>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</si>
  <si>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</si>
  <si>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</si>
  <si>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</si>
  <si>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</si>
  <si>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Severity</t>
  </si>
  <si>
    <t xml:space="preserve">Test Type</t>
  </si>
  <si>
    <t xml:space="preserve">Executed By</t>
  </si>
  <si>
    <t xml:space="preserve">Execution Date</t>
  </si>
  <si>
    <t xml:space="preserve">Comments</t>
  </si>
  <si>
    <t xml:space="preserve">TC_LOAN_001</t>
  </si>
  <si>
    <t xml:space="preserve">Loan</t>
  </si>
  <si>
    <t xml:space="preserve">EMI calculator - valid inputs</t>
  </si>
  <si>
    <t xml:space="preserve">Verify EMI calculator computes correct EMI for valid principal, tenure and interest rate</t>
  </si>
  <si>
    <t xml:space="preserve">User is on Loan/EMI Calculator page</t>
  </si>
  <si>
    <t xml:space="preserve">1. Enter Loan Amount, Tenure and Interest Rate
2. Click Calculate</t>
  </si>
  <si>
    <t xml:space="preserve">Principal: Rs.5,00,000, Tenure: 60 months, Rate: 9%</t>
  </si>
  <si>
    <t xml:space="preserve">EMI is calculated correctly as per standard EMI formula and displayed with break-up (principal/interest)</t>
  </si>
  <si>
    <t xml:space="preserve">Not Executed</t>
  </si>
  <si>
    <t xml:space="preserve">High</t>
  </si>
  <si>
    <t xml:space="preserve">Major</t>
  </si>
  <si>
    <t xml:space="preserve">Functional</t>
  </si>
  <si>
    <t xml:space="preserve">TC_LOAN_002</t>
  </si>
  <si>
    <t xml:space="preserve">EMI calculator - zero/negative tenure</t>
  </si>
  <si>
    <t xml:space="preserve">Verify calculator rejects zero or negative tenure input</t>
  </si>
  <si>
    <t xml:space="preserve">User is on EMI Calculator page</t>
  </si>
  <si>
    <t xml:space="preserve">1. Enter Tenure as 0 or negative
2. Click Calculate</t>
  </si>
  <si>
    <t xml:space="preserve">Tenure: 0</t>
  </si>
  <si>
    <t xml:space="preserve">Validation error 'Tenure must be greater than 0' is displayed; calculation is not performed</t>
  </si>
  <si>
    <t xml:space="preserve">Low</t>
  </si>
  <si>
    <t xml:space="preserve">Minor</t>
  </si>
  <si>
    <t xml:space="preserve">Boundary</t>
  </si>
  <si>
    <t xml:space="preserve">TC_LOAN_003</t>
  </si>
  <si>
    <t xml:space="preserve">New loan application submission</t>
  </si>
  <si>
    <t xml:space="preserve">Verify user can submit a new loan application with all required details and documents</t>
  </si>
  <si>
    <t xml:space="preserve">User logged in, eligible for loan product</t>
  </si>
  <si>
    <t xml:space="preserve">1. Navigate to Apply for Loan
2. Fill personal, employment and loan details
3. Upload income proof documents
4. Submit</t>
  </si>
  <si>
    <t xml:space="preserve">Loan type: Personal Loan, Amount: Rs.3,00,000</t>
  </si>
  <si>
    <t xml:space="preserve">Application is submitted successfully with a unique application/reference number; status shown as 'Submitted'</t>
  </si>
  <si>
    <t xml:space="preserve">Critical</t>
  </si>
  <si>
    <t xml:space="preserve">TC_LOAN_004</t>
  </si>
  <si>
    <t xml:space="preserve">Loan amount exceeds eligibility</t>
  </si>
  <si>
    <t xml:space="preserve">Verify system flags/rejects when requested loan amount exceeds calculated eligibility</t>
  </si>
  <si>
    <t xml:space="preserve">User's eligibility is Rs.2,00,000</t>
  </si>
  <si>
    <t xml:space="preserve">1. Apply for a loan amount greater than eligible limit
2. Submit</t>
  </si>
  <si>
    <t xml:space="preserve">Requested: Rs.10,00,000 (eligible Rs.2,00,000)</t>
  </si>
  <si>
    <t xml:space="preserve">System displays a warning 'Amount exceeds eligibility' and either caps the amount or requires additional review</t>
  </si>
  <si>
    <t xml:space="preserve">Medium</t>
  </si>
  <si>
    <t xml:space="preserve">Negative</t>
  </si>
  <si>
    <t xml:space="preserve">TC_LOAN_005</t>
  </si>
  <si>
    <t xml:space="preserve">Application status tracking</t>
  </si>
  <si>
    <t xml:space="preserve">Verify user can track the real-time status of a submitted loan application</t>
  </si>
  <si>
    <t xml:space="preserve">User has an existing loan application</t>
  </si>
  <si>
    <t xml:space="preserve">1. Navigate to Track Application
2. Enter/select application reference</t>
  </si>
  <si>
    <t xml:space="preserve">Application ref number</t>
  </si>
  <si>
    <t xml:space="preserve">Correct current status (e.g., Under Review/Approved/Rejected/Disbursed) is displayed with timeline</t>
  </si>
  <si>
    <t xml:space="preserve">TC_LOAN_006</t>
  </si>
  <si>
    <t xml:space="preserve">Document re-upload after rejection</t>
  </si>
  <si>
    <t xml:space="preserve">Verify user can re-upload a document when the original was rejected by the verification team</t>
  </si>
  <si>
    <t xml:space="preserve">Application status shows 'Document Rejected'</t>
  </si>
  <si>
    <t xml:space="preserve">1. Navigate to application
2. Re-upload the requested document
3. Submit</t>
  </si>
  <si>
    <t xml:space="preserve">Updated income proof document</t>
  </si>
  <si>
    <t xml:space="preserve">Document is re-submitted; application status changes to 'Resubmitted / Under Review'</t>
  </si>
  <si>
    <t xml:space="preserve">TC_LOAN_007</t>
  </si>
  <si>
    <t xml:space="preserve">Pre-closure/foreclosure calculation</t>
  </si>
  <si>
    <t xml:space="preserve">Verify system correctly calculates foreclosure amount including applicable charges</t>
  </si>
  <si>
    <t xml:space="preserve">User has an active running loan</t>
  </si>
  <si>
    <t xml:space="preserve">1. Navigate to Loan Details &gt; Foreclosure
2. Click 'Calculate Foreclosure Amount'</t>
  </si>
  <si>
    <t xml:space="preserve">Active loan with outstanding principal</t>
  </si>
  <si>
    <t xml:space="preserve">Correct foreclosure amount (outstanding principal + interest + foreclosure charges as applicable) is displayed</t>
  </si>
  <si>
    <t xml:space="preserve">TC_LOAN_008</t>
  </si>
  <si>
    <t xml:space="preserve">Interest rate boundary validation</t>
  </si>
  <si>
    <t xml:space="preserve">Verify EMI calculator handles minimum and maximum boundary interest rate values correctly</t>
  </si>
  <si>
    <t xml:space="preserve">1. Enter interest rate at minimum allowed boundary (e.g., 1%)
2. Enter at maximum allowed boundary (e.g., 30%)
3. Calculate for each</t>
  </si>
  <si>
    <t xml:space="preserve">Rate: 1% and 30%</t>
  </si>
  <si>
    <t xml:space="preserve">EMI is calculated correctly at both boundary values without error or overflow</t>
  </si>
  <si>
    <t xml:space="preserve">Loan Module - Execution Summary</t>
  </si>
  <si>
    <t xml:space="preserve">Total Test Cases</t>
  </si>
  <si>
    <t xml:space="preserve">Passed</t>
  </si>
  <si>
    <t xml:space="preserve">Failed</t>
  </si>
  <si>
    <t xml:space="preserve">Blocked</t>
  </si>
  <si>
    <t xml:space="preserve">Pass 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</si>
</sst>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D9D9"/>
        <bgColor rgb="FFC6EFCE"/>
      </patternFill>
    </fill>
    <fill>
      <patternFill patternType="solid">
        <fgColor rgb="FFFFC7CE"/>
        <bgColor rgb="FFD9D9D9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38"/>
    <col collapsed="false" customWidth="true" hidden="false" outlineLevel="0" max="7" min="7" style="0" width="22"/>
    <col collapsed="false" customWidth="true" hidden="false" outlineLevel="0" max="8" min="8" style="0" width="30"/>
    <col collapsed="false" customWidth="true" hidden="false" outlineLevel="0" max="9" min="9" style="0" width="22"/>
    <col collapsed="false" customWidth="true" hidden="false" outlineLevel="0" max="10" min="10" style="0" width="12"/>
    <col collapsed="false" customWidth="true" hidden="false" outlineLevel="0" max="12" min="11" style="0" width="10"/>
    <col collapsed="false" customWidth="true" hidden="false" outlineLevel="0" max="15" min="13" style="0" width="14"/>
    <col collapsed="false" customWidth="true" hidden="false" outlineLevel="0" max="16" min="16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customFormat="false" ht="45" hidden="false" customHeight="true" outlineLevel="0" collapsed="false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  <c r="H5" s="4" t="s">
        <v>25</v>
      </c>
      <c r="I5" s="4"/>
      <c r="J5" s="5" t="s">
        <v>26</v>
      </c>
      <c r="K5" s="6" t="s">
        <v>27</v>
      </c>
      <c r="L5" s="4" t="s">
        <v>28</v>
      </c>
      <c r="M5" s="4" t="s">
        <v>29</v>
      </c>
      <c r="N5" s="4"/>
      <c r="O5" s="4"/>
      <c r="P5" s="4"/>
    </row>
    <row r="6" customFormat="false" ht="45" hidden="false" customHeight="true" outlineLevel="0" collapsed="false">
      <c r="A6" s="4" t="s">
        <v>30</v>
      </c>
      <c r="B6" s="4" t="s">
        <v>19</v>
      </c>
      <c r="C6" s="4" t="s">
        <v>31</v>
      </c>
      <c r="D6" s="4" t="s">
        <v>32</v>
      </c>
      <c r="E6" s="4" t="s">
        <v>33</v>
      </c>
      <c r="F6" s="4" t="s">
        <v>34</v>
      </c>
      <c r="G6" s="4" t="s">
        <v>35</v>
      </c>
      <c r="H6" s="4" t="s">
        <v>36</v>
      </c>
      <c r="I6" s="4"/>
      <c r="J6" s="5" t="s">
        <v>26</v>
      </c>
      <c r="K6" s="7" t="s">
        <v>37</v>
      </c>
      <c r="L6" s="4" t="s">
        <v>38</v>
      </c>
      <c r="M6" s="4" t="s">
        <v>39</v>
      </c>
      <c r="N6" s="4"/>
      <c r="O6" s="4"/>
      <c r="P6" s="4"/>
    </row>
    <row r="7" customFormat="false" ht="45" hidden="false" customHeight="true" outlineLevel="0" collapsed="false">
      <c r="A7" s="4" t="s">
        <v>40</v>
      </c>
      <c r="B7" s="4" t="s">
        <v>19</v>
      </c>
      <c r="C7" s="4" t="s">
        <v>41</v>
      </c>
      <c r="D7" s="4" t="s">
        <v>42</v>
      </c>
      <c r="E7" s="4" t="s">
        <v>43</v>
      </c>
      <c r="F7" s="4" t="s">
        <v>44</v>
      </c>
      <c r="G7" s="4" t="s">
        <v>45</v>
      </c>
      <c r="H7" s="4" t="s">
        <v>46</v>
      </c>
      <c r="I7" s="4"/>
      <c r="J7" s="5" t="s">
        <v>26</v>
      </c>
      <c r="K7" s="6" t="s">
        <v>27</v>
      </c>
      <c r="L7" s="4" t="s">
        <v>47</v>
      </c>
      <c r="M7" s="4" t="s">
        <v>29</v>
      </c>
      <c r="N7" s="4"/>
      <c r="O7" s="4"/>
      <c r="P7" s="4"/>
    </row>
    <row r="8" customFormat="false" ht="45" hidden="false" customHeight="true" outlineLevel="0" collapsed="false">
      <c r="A8" s="4" t="s">
        <v>48</v>
      </c>
      <c r="B8" s="4" t="s">
        <v>19</v>
      </c>
      <c r="C8" s="4" t="s">
        <v>49</v>
      </c>
      <c r="D8" s="4" t="s">
        <v>50</v>
      </c>
      <c r="E8" s="4" t="s">
        <v>51</v>
      </c>
      <c r="F8" s="4" t="s">
        <v>52</v>
      </c>
      <c r="G8" s="4" t="s">
        <v>53</v>
      </c>
      <c r="H8" s="4" t="s">
        <v>54</v>
      </c>
      <c r="I8" s="4"/>
      <c r="J8" s="5" t="s">
        <v>26</v>
      </c>
      <c r="K8" s="8" t="s">
        <v>55</v>
      </c>
      <c r="L8" s="4" t="s">
        <v>28</v>
      </c>
      <c r="M8" s="4" t="s">
        <v>56</v>
      </c>
      <c r="N8" s="4"/>
      <c r="O8" s="4"/>
      <c r="P8" s="4"/>
    </row>
    <row r="9" customFormat="false" ht="45" hidden="false" customHeight="true" outlineLevel="0" collapsed="false">
      <c r="A9" s="4" t="s">
        <v>57</v>
      </c>
      <c r="B9" s="4" t="s">
        <v>19</v>
      </c>
      <c r="C9" s="4" t="s">
        <v>58</v>
      </c>
      <c r="D9" s="4" t="s">
        <v>59</v>
      </c>
      <c r="E9" s="4" t="s">
        <v>60</v>
      </c>
      <c r="F9" s="4" t="s">
        <v>61</v>
      </c>
      <c r="G9" s="4" t="s">
        <v>62</v>
      </c>
      <c r="H9" s="4" t="s">
        <v>63</v>
      </c>
      <c r="I9" s="4"/>
      <c r="J9" s="5" t="s">
        <v>26</v>
      </c>
      <c r="K9" s="8" t="s">
        <v>55</v>
      </c>
      <c r="L9" s="4" t="s">
        <v>28</v>
      </c>
      <c r="M9" s="4" t="s">
        <v>29</v>
      </c>
      <c r="N9" s="4"/>
      <c r="O9" s="4"/>
      <c r="P9" s="4"/>
    </row>
    <row r="10" customFormat="false" ht="45" hidden="false" customHeight="true" outlineLevel="0" collapsed="false">
      <c r="A10" s="4" t="s">
        <v>64</v>
      </c>
      <c r="B10" s="4" t="s">
        <v>19</v>
      </c>
      <c r="C10" s="4" t="s">
        <v>65</v>
      </c>
      <c r="D10" s="4" t="s">
        <v>66</v>
      </c>
      <c r="E10" s="4" t="s">
        <v>67</v>
      </c>
      <c r="F10" s="4" t="s">
        <v>68</v>
      </c>
      <c r="G10" s="4" t="s">
        <v>69</v>
      </c>
      <c r="H10" s="4" t="s">
        <v>70</v>
      </c>
      <c r="I10" s="4"/>
      <c r="J10" s="5" t="s">
        <v>26</v>
      </c>
      <c r="K10" s="8" t="s">
        <v>55</v>
      </c>
      <c r="L10" s="4" t="s">
        <v>38</v>
      </c>
      <c r="M10" s="4" t="s">
        <v>29</v>
      </c>
      <c r="N10" s="4"/>
      <c r="O10" s="4"/>
      <c r="P10" s="4"/>
    </row>
    <row r="11" customFormat="false" ht="45" hidden="false" customHeight="true" outlineLevel="0" collapsed="false">
      <c r="A11" s="4" t="s">
        <v>71</v>
      </c>
      <c r="B11" s="4" t="s">
        <v>19</v>
      </c>
      <c r="C11" s="4" t="s">
        <v>72</v>
      </c>
      <c r="D11" s="4" t="s">
        <v>73</v>
      </c>
      <c r="E11" s="4" t="s">
        <v>74</v>
      </c>
      <c r="F11" s="4" t="s">
        <v>75</v>
      </c>
      <c r="G11" s="4" t="s">
        <v>76</v>
      </c>
      <c r="H11" s="4" t="s">
        <v>77</v>
      </c>
      <c r="I11" s="4"/>
      <c r="J11" s="5" t="s">
        <v>26</v>
      </c>
      <c r="K11" s="8" t="s">
        <v>55</v>
      </c>
      <c r="L11" s="4" t="s">
        <v>28</v>
      </c>
      <c r="M11" s="4" t="s">
        <v>29</v>
      </c>
      <c r="N11" s="4"/>
      <c r="O11" s="4"/>
      <c r="P11" s="4"/>
    </row>
    <row r="12" customFormat="false" ht="45" hidden="false" customHeight="true" outlineLevel="0" collapsed="false">
      <c r="A12" s="4" t="s">
        <v>78</v>
      </c>
      <c r="B12" s="4" t="s">
        <v>19</v>
      </c>
      <c r="C12" s="4" t="s">
        <v>79</v>
      </c>
      <c r="D12" s="4" t="s">
        <v>80</v>
      </c>
      <c r="E12" s="4" t="s">
        <v>33</v>
      </c>
      <c r="F12" s="4" t="s">
        <v>81</v>
      </c>
      <c r="G12" s="4" t="s">
        <v>82</v>
      </c>
      <c r="H12" s="4" t="s">
        <v>83</v>
      </c>
      <c r="I12" s="4"/>
      <c r="J12" s="5" t="s">
        <v>26</v>
      </c>
      <c r="K12" s="7" t="s">
        <v>37</v>
      </c>
      <c r="L12" s="4" t="s">
        <v>38</v>
      </c>
      <c r="M12" s="4" t="s">
        <v>39</v>
      </c>
      <c r="N12" s="4"/>
      <c r="O12" s="4"/>
      <c r="P12" s="4"/>
    </row>
  </sheetData>
  <dataValidations count="4">
    <dataValidation allowBlank="true" errorStyle="stop" operator="between" showDropDown="false" showErrorMessage="false" showInputMessage="false" sqref="J5:J12" type="list">
      <formula1>"Pass,Fail,Blocked,Not Executed"</formula1>
      <formula2>0</formula2>
    </dataValidation>
    <dataValidation allowBlank="true" errorStyle="stop" operator="between" showDropDown="false" showErrorMessage="false" showInputMessage="false" sqref="K5:K12" type="list">
      <formula1>"High,Medium,Low"</formula1>
      <formula2>0</formula2>
    </dataValidation>
    <dataValidation allowBlank="true" errorStyle="stop" operator="between" showDropDown="false" showErrorMessage="false" showInputMessage="false" sqref="L5:L12" type="list">
      <formula1>"Critical,Major,Minor,Cosmetic"</formula1>
      <formula2>0</formula2>
    </dataValidation>
    <dataValidation allowBlank="true" errorStyle="stop" operator="between" showDropDown="false" showErrorMessage="false" showInputMessage="false" sqref="M5:M12" type="list">
      <formula1>"Functional,Negative,Boundary,UI,Security,Usability,Integration"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84</v>
      </c>
    </row>
    <row r="2" customFormat="false" ht="15" hidden="false" customHeight="false" outlineLevel="0" collapsed="false">
      <c r="A2" s="9" t="s">
        <v>85</v>
      </c>
      <c r="B2" s="0" t="n">
        <v>8</v>
      </c>
    </row>
    <row r="3" customFormat="false" ht="15" hidden="false" customHeight="false" outlineLevel="0" collapsed="false">
      <c r="A3" s="9" t="s">
        <v>86</v>
      </c>
      <c r="B3" s="10" t="n">
        <f aca="false">COUNTIF('Test Cases'!J5:J12,"Pass")</f>
        <v>0</v>
      </c>
    </row>
    <row r="4" customFormat="false" ht="15" hidden="false" customHeight="false" outlineLevel="0" collapsed="false">
      <c r="A4" s="9" t="s">
        <v>87</v>
      </c>
      <c r="B4" s="10" t="n">
        <f aca="false">COUNTIF('Test Cases'!J5:J12,"Fail")</f>
        <v>0</v>
      </c>
    </row>
    <row r="5" customFormat="false" ht="15" hidden="false" customHeight="false" outlineLevel="0" collapsed="false">
      <c r="A5" s="9" t="s">
        <v>88</v>
      </c>
      <c r="B5" s="10" t="n">
        <f aca="false">COUNTIF('Test Cases'!J5:J12,"Blocked")</f>
        <v>0</v>
      </c>
    </row>
    <row r="6" customFormat="false" ht="15" hidden="false" customHeight="false" outlineLevel="0" collapsed="false">
      <c r="A6" s="9" t="s">
        <v>26</v>
      </c>
      <c r="B6" s="10" t="n">
        <f aca="false">COUNTIF('Test Cases'!J5:J12,"Not Executed")</f>
        <v>8</v>
      </c>
    </row>
    <row r="7" customFormat="false" ht="15" hidden="false" customHeight="false" outlineLevel="0" collapsed="false">
      <c r="A7" s="9" t="s">
        <v>89</v>
      </c>
      <c r="B7" s="11" t="n">
        <f aca="false">IFERROR(B3/B2,0)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2026-07-22T07:27:01Z</dcterms:created>
  <dc:creator>openpyxl</dc:creator>
  <dc:description/>
  <dc:language>en-US</dc:language>
  <cp:lastModifiedBy/>
  <dcterms:modified xsi:type="dcterms:W3CDTF">2026-07-22T07:27:01Z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